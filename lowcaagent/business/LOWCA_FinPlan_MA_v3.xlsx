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ế Hoạch Tài Chính 6T" sheetId="1" state="visible" r:id="rId3"/>
    <sheet name="Chiến Lược M&amp;A CASSO"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<sst xmlns="http://schemas.openxmlformats.org/spreadsheetml/2006/main" count="295" uniqueCount="257">
  <si>
    <t xml:space="preserve">LOWCA — Kế Hoạch Tài Chính 6 Tháng  ·  Sweat-Equity Model  ·  Cash out-of-pocket &lt; 5M VND/tháng  ·  M&amp;A target: Tháng 3</t>
  </si>
  <si>
    <t xml:space="preserve">Hạng mục</t>
  </si>
  <si>
    <t xml:space="preserve">T1
BUILD</t>
  </si>
  <si>
    <t xml:space="preserve">T2
BUILD</t>
  </si>
  <si>
    <t xml:space="preserve">T3
M&amp;A PITCH</t>
  </si>
  <si>
    <t xml:space="preserve">T4
NEGOTIATE</t>
  </si>
  <si>
    <t xml:space="preserve">T5
DUE DIL.</t>
  </si>
  <si>
    <t xml:space="preserve">T6
CLOSE</t>
  </si>
  <si>
    <t xml:space="preserve">Ghi chú</t>
  </si>
  <si>
    <t xml:space="preserve">▌ A. TEAM — Sweat Equity (Part-time, không lương T1–T2; nhận equity/bonus khi close deal)</t>
  </si>
  <si>
    <t xml:space="preserve">★ Khoảng 10 người làm part-time = FTE quy đổi ~3–4 người. Chi phí THỰC là thời gian, không phải tiền.</t>
  </si>
  <si>
    <t xml:space="preserve">  👤 Founder / PM (bạn)</t>
  </si>
  <si>
    <t xml:space="preserve">Lead</t>
  </si>
  <si>
    <t xml:space="preserve">Lead+M&amp;A</t>
  </si>
  <si>
    <t xml:space="preserve">M&amp;A</t>
  </si>
  <si>
    <t xml:space="preserve">Close</t>
  </si>
  <si>
    <t xml:space="preserve">Lead product + điều phối M&amp;A. Nhận lương sau khi deal close.</t>
  </si>
  <si>
    <t xml:space="preserve">  📈 Growth / M&amp;A Research (1)</t>
  </si>
  <si>
    <t xml:space="preserve">Market</t>
  </si>
  <si>
    <t xml:space="preserve">PITCH</t>
  </si>
  <si>
    <t xml:space="preserve">Support</t>
  </si>
  <si>
    <t xml:space="preserve">—</t>
  </si>
  <si>
    <t xml:space="preserve">KEY T3: build deck, approach CASSO, tạo data room. Vai trò lên cao nhất T3.</t>
  </si>
  <si>
    <t xml:space="preserve">  🎨 Product Designer (2–3)</t>
  </si>
  <si>
    <t xml:space="preserve">UX/Spec</t>
  </si>
  <si>
    <t xml:space="preserve">Finalize</t>
  </si>
  <si>
    <t xml:space="preserve">Sprint T1–2 để có demo đẹp cho M&amp;A deck. Giảm T3+.</t>
  </si>
  <si>
    <t xml:space="preserve">  🤖 AI Engineer (1–2)</t>
  </si>
  <si>
    <t xml:space="preserve">Core</t>
  </si>
  <si>
    <t xml:space="preserve">Polish</t>
  </si>
  <si>
    <t xml:space="preserve">CRITICAL T1: AI scan accuracy ≥90% là gate trước tất cả. Priority #1.</t>
  </si>
  <si>
    <t xml:space="preserve">  💻 Dev Full-stack (4–5)</t>
  </si>
  <si>
    <t xml:space="preserve">Sprint</t>
  </si>
  <si>
    <t xml:space="preserve">Bug fix</t>
  </si>
  <si>
    <t xml:space="preserve">MVP + QR flow + dashboard. Tập trung T1–2, freeze feature T3+.</t>
  </si>
  <si>
    <t xml:space="preserve">  ⚖️ Legal advisor (cần tìm)</t>
  </si>
  <si>
    <t xml:space="preserve">Brief</t>
  </si>
  <si>
    <t xml:space="preserve">Active</t>
  </si>
  <si>
    <t xml:space="preserve">DD</t>
  </si>
  <si>
    <t xml:space="preserve">Sign</t>
  </si>
  <si>
    <t xml:space="preserve">Luật sư IT/M&amp;A. Tìm ngay T2 để sẵn sàng T3. Chi phí tính vào legal budget.</t>
  </si>
  <si>
    <t xml:space="preserve">▌ B. CHI PHÍ TIỀN MẶT (Cash Out-of-Pocket)  —  Không tính lương team</t>
  </si>
  <si>
    <t xml:space="preserve">Tất cả màu xanh = input thay đổi được. Mục tiêu: giữ tổng &lt; 5M VND/tháng T1–T2. T3+ tăng vì legal.</t>
  </si>
  <si>
    <t xml:space="preserve">  🤖 AI API — GPT-4o Vision / Gemini</t>
  </si>
  <si>
    <t xml:space="preserve">T1: ~500 test scans. T2: 1K scans pilot. Dùng Gemini Flash (rẻ hơn 10×) cho volume, GPT-4o chỉ cho accuracy test</t>
  </si>
  <si>
    <t xml:space="preserve">  ☁️  Cloud &amp; Infra (Supabase+Vercel)</t>
  </si>
  <si>
    <t xml:space="preserve">Supabase free → Pro $25/tháng khi &gt;500 requests. Vercel Hobby (miễn phí). Firebase FCM miễn phí.</t>
  </si>
  <si>
    <t xml:space="preserve">  🛠️  Tools (Figma, Postman, Notion)</t>
  </si>
  <si>
    <t xml:space="preserve">Figma Starter miễn phí. Notion miễn phí. Postman miễn phí. Tổng ~500K/tháng.</t>
  </si>
  <si>
    <t xml:space="preserve">  📣 Marketing pilot (TikTok/FB micro)</t>
  </si>
  <si>
    <t xml:space="preserve">T1–2: tìm 10 quán pilot. Boosted post TikTok ~200K/post × 5. T3+: stop ads, tập trung M&amp;A.</t>
  </si>
  <si>
    <t xml:space="preserve">  ⚖️  Legal (M&amp;A, IP, data privacy)</t>
  </si>
  <si>
    <t xml:space="preserve">T2: tham khảo ban đầu. T3: brief luật sư. T4–5: soạn thảo SPA/SHA. KHÔNG skip — DD sẽ hỏi IP ownership.</t>
  </si>
  <si>
    <t xml:space="preserve">  🚗 Di chuyển, in ấn, demo materials</t>
  </si>
  <si>
    <t xml:space="preserve">T3: in pitch deck, in name card, đi lại gặp CASSO leadership. ~1.5M là thực tế.</t>
  </si>
  <si>
    <t xml:space="preserve">TOTAL CASH / THÁNG (VND)</t>
  </si>
  <si>
    <t xml:space="preserve">Tổng cash luỹ kế (cộng dồn)</t>
  </si>
  <si>
    <t xml:space="preserve">Tổng 6 tháng ≈ 40–50M VND. Đây là mức bootstrap cực kỳ lean, khả thi 100%.</t>
  </si>
  <si>
    <t xml:space="preserve">▌ C. GIÁ TRỊ SWEAT EQUITY — Không phải tiền mặt nhưng PHẢI tính vào valuation khi đàm phán M&amp;A</t>
  </si>
  <si>
    <t xml:space="preserve">Khi CASSO định giá LOWCA, họ sẽ cộng cash invested + sweat equity value vào cost basis. Đây là leverage đàm phán của bạn.</t>
  </si>
  <si>
    <t xml:space="preserve">  Founder (bạn) — 2 tháng full commitment</t>
  </si>
  <si>
    <t xml:space="preserve">~80 giờ/tháng × 2</t>
  </si>
  <si>
    <t xml:space="preserve">~160 giờ</t>
  </si>
  <si>
    <t xml:space="preserve">~25M VND/tháng × 2</t>
  </si>
  <si>
    <t xml:space="preserve">Opportunity cost nếu bạn làm full-time ở công ty khác</t>
  </si>
  <si>
    <t xml:space="preserve">  Growth / M&amp;A (1 người, PT)</t>
  </si>
  <si>
    <t xml:space="preserve">~40h/tháng × 2</t>
  </si>
  <si>
    <t xml:space="preserve">~80 giờ</t>
  </si>
  <si>
    <t xml:space="preserve">~15M VND/tháng</t>
  </si>
  <si>
    <t xml:space="preserve">Đặc biệt valuable vì M&amp;A research trực tiếp phục vụ deal</t>
  </si>
  <si>
    <t xml:space="preserve">  AI Engineer (1–2 người, PT)</t>
  </si>
  <si>
    <t xml:space="preserve">~60h/tháng × 2</t>
  </si>
  <si>
    <t xml:space="preserve">~120 giờ</t>
  </si>
  <si>
    <t xml:space="preserve">~20M VND/tháng</t>
  </si>
  <si>
    <t xml:space="preserve">AI scan accuracy là core IP — giá trị kỹ thuật cao nhất</t>
  </si>
  <si>
    <t xml:space="preserve">  Product Designer (2–3 người, PT)</t>
  </si>
  <si>
    <t xml:space="preserve">~50h/tháng × 2</t>
  </si>
  <si>
    <t xml:space="preserve">~100 giờ</t>
  </si>
  <si>
    <t xml:space="preserve">~12M VND/tháng</t>
  </si>
  <si>
    <t xml:space="preserve">UX/UI demo + prototype cho M&amp;A deck</t>
  </si>
  <si>
    <t xml:space="preserve">  Dev team (4–5 người, PT)</t>
  </si>
  <si>
    <t xml:space="preserve">~80h/tháng × 2</t>
  </si>
  <si>
    <t xml:space="preserve">~15M VND/person</t>
  </si>
  <si>
    <t xml:space="preserve">4 người × ~15M/tháng market rate × 2 tháng</t>
  </si>
  <si>
    <t xml:space="preserve">TỔNG GIÁ TRỊ SWEAT EQUITY (2 tháng build)</t>
  </si>
  <si>
    <t xml:space="preserve">204 VND → ~$0 USD</t>
  </si>
  <si>
    <t xml:space="preserve">Đây là phần bạn nên đưa vào valuation khi đàm phán với CASSO</t>
  </si>
  <si>
    <t xml:space="preserve">Tổng invested value = Cash (~45M VND) + Sweat equity (~204M VND) = ~249M VND ≈ $10 USD. Đây là cost basis tối thiểu khi negotiate deal — không để acquirer undervalue LOWCA chỉ vì không có revenue.</t>
  </si>
  <si>
    <t xml:space="preserve">▌ D. DOANH THU — Tín hiệu willingness-to-pay (không phải mục tiêu tài chính)</t>
  </si>
  <si>
    <t xml:space="preserve">Timeline 6 tháng → M&amp;A không đủ để build revenue scale. Mục tiêu: có ÍT NHẤT 3–5 quán trả tiền (dù nhỏ) trước M&amp;A pitch để chứng minh WTP.</t>
  </si>
  <si>
    <t xml:space="preserve">  Quán pilot FREE (không thu tiền)</t>
  </si>
  <si>
    <t xml:space="preserve">Free hoàn toàn T1–T3. Focus là data + NPS + testimonial.</t>
  </si>
  <si>
    <t xml:space="preserve">  Quán early-adopter PAID (trả tiền)</t>
  </si>
  <si>
    <t xml:space="preserve">T4: bắt đầu charge 99K/tháng. Mục tiêu 3–8 quán paid trước close.</t>
  </si>
  <si>
    <t xml:space="preserve">  ARPU early adopter (VND/tháng)</t>
  </si>
  <si>
    <t xml:space="preserve">Discount mạnh. Signal &gt; revenue.</t>
  </si>
  <si>
    <t xml:space="preserve">  Revenue subscription / tháng (VND)</t>
  </si>
  <si>
    <t xml:space="preserve">3×99K | 5×99K | 8×149K</t>
  </si>
  <si>
    <t xml:space="preserve">  GMV qua app / tháng (VND)</t>
  </si>
  <si>
    <t xml:space="preserve">~25 quán × ~30M VND GMV/tháng (avg 200 orders × 150K). Đây là số CASSO muốn thấy nhất.</t>
  </si>
  <si>
    <t xml:space="preserve">TOTAL REVENUE / THÁNG (VND)</t>
  </si>
  <si>
    <t xml:space="preserve">Revenue nhỏ nhưng là PROOF. Acquirer cần thấy có người trả tiền.</t>
  </si>
  <si>
    <t xml:space="preserve">▌ E. TÓM TẮT NET BURN &amp; RUNWAY</t>
  </si>
  <si>
    <t xml:space="preserve">Net Burn / tháng (Revenue – Cash Cost)</t>
  </si>
  <si>
    <t xml:space="preserve">(Âm = đang burn. T3 tăng vì legal cost. T4+ revenue bắt đầu offset.)</t>
  </si>
  <si>
    <t xml:space="preserve">Tổng net burn luỹ kế</t>
  </si>
  <si>
    <t xml:space="preserve">Tổng burn 6 tháng ≈ 45–50M VND cash. Cực kỳ lean. Khả thi với bootstrap cá nhân.</t>
  </si>
  <si>
    <t xml:space="preserve">▌ F. PHÂN BỔ BUDGET KHUYẾN NGHỊ — Tổng 6 tháng</t>
  </si>
  <si>
    <t xml:space="preserve">  🤖 AI API (6 tháng)</t>
  </si>
  <si>
    <t xml:space="preserve">9,500,000</t>
  </si>
  <si>
    <t xml:space="preserve">20%</t>
  </si>
  <si>
    <t xml:space="preserve">Optimize: Gemini Flash cho volume, GPT-4o chỉ test accuracy</t>
  </si>
  <si>
    <t xml:space="preserve">  ☁️  Cloud &amp; Tools (6 tháng)</t>
  </si>
  <si>
    <t xml:space="preserve">4,600,000</t>
  </si>
  <si>
    <t xml:space="preserve">10%</t>
  </si>
  <si>
    <t xml:space="preserve">Supabase + Vercel. Dùng free tier tối đa.</t>
  </si>
  <si>
    <t xml:space="preserve">  📣 Marketing pilot (T1–T3)</t>
  </si>
  <si>
    <t xml:space="preserve">3,000,000</t>
  </si>
  <si>
    <t xml:space="preserve">6%</t>
  </si>
  <si>
    <t xml:space="preserve">Micro boost TikTok để tìm 10 quán pilot. Dừng T3.</t>
  </si>
  <si>
    <t xml:space="preserve">  ⚖️  M&amp;A Legal (T3–T6) — CRITICAL</t>
  </si>
  <si>
    <t xml:space="preserve">38,200,000</t>
  </si>
  <si>
    <t xml:space="preserve">58%</t>
  </si>
  <si>
    <t xml:space="preserve">Đây là khoản lớn nhất và quan trọng nhất. IP + Data + SPA.</t>
  </si>
  <si>
    <t xml:space="preserve">  🚗 Di chuyển &amp; demo (6 tháng)</t>
  </si>
  <si>
    <t xml:space="preserve">3,600,000</t>
  </si>
  <si>
    <t xml:space="preserve">7%</t>
  </si>
  <si>
    <t xml:space="preserve">Pitch meetings, in ấn, travel gặp CASSO T3–T4.</t>
  </si>
  <si>
    <t xml:space="preserve">  💰 TỔNG CASH CẦN CHUẨN BỊ</t>
  </si>
  <si>
    <t xml:space="preserve">~59,000,000</t>
  </si>
  <si>
    <t xml:space="preserve">100%</t>
  </si>
  <si>
    <t xml:space="preserve">≈ 60M VND. Tương đương &lt; 5M VND/tháng T1–T2; tăng T3–T5 do legal.</t>
  </si>
  <si>
    <t xml:space="preserve">  🛡️  Buffer an toàn (+20%)</t>
  </si>
  <si>
    <t xml:space="preserve">~12,000,000</t>
  </si>
  <si>
    <t xml:space="preserve">Rủi ro DD kéo dài, luật sư vòng thêm, unexpected cost.</t>
  </si>
  <si>
    <t xml:space="preserve">  🎯 TỔNG VỐN NÊN CÓ SẴN</t>
  </si>
  <si>
    <t xml:space="preserve">~70,000,000</t>
  </si>
  <si>
    <t xml:space="preserve">70M VND đủ để chạy thoải mái 6 tháng đến close.</t>
  </si>
  <si>
    <t xml:space="preserve">LOWCA × CASSO — M&amp;A Strategy  ·  Tháng 3: First Contact  ·  Tư vấn Deal Structure Tối Ưu</t>
  </si>
  <si>
    <t xml:space="preserve">▌ 1. TẠI SAO CASSO LÀ ACQUIRER SỐ 1 — Fit chiến lược cao nhất</t>
  </si>
  <si>
    <t xml:space="preserve">  Bạn là insider CASSO</t>
  </si>
  <si>
    <t xml:space="preserve">Bạn là Trưởng phòng Tự động hóa — hiểu sâu pain points, roadmap, và người ra quyết định. Đây là leverage KHÔNG AI có được. Cold pitch mất 2–3 tháng; bạn có thể book meeting nội bộ trong tuần.</t>
  </si>
  <si>
    <t xml:space="preserve">Highest</t>
  </si>
  <si>
    <t xml:space="preserve">  Synergy hoàn hảo với CASSO payOS</t>
  </si>
  <si>
    <t xml:space="preserve">CASSO có payOS (cổng thanh toán). LOWCA mang GMV từ F&amp;B merchant. Mỗi LOWCA order = 1 transaction CASSO có thể process → tăng TPV (Total Payment Volume) cho payOS ngay lập tức.</t>
  </si>
  <si>
    <t xml:space="preserve">  Open Banking Circular 64 (3/2025)</t>
  </si>
  <si>
    <t xml:space="preserve">Circular 64/2024 SBV (hiệu lực 3/2025) cho phép banks share data với third-party qua API. CASSO cần merchant data để build lending/BNPL sản phẩm tiếp theo. LOWCA = F&amp;B merchant KYC data.</t>
  </si>
  <si>
    <t xml:space="preserve">High</t>
  </si>
  <si>
    <t xml:space="preserve">  CASSO đang cần F&amp;B vertical</t>
  </si>
  <si>
    <t xml:space="preserve">CASSO hiện phục vụ general SME. F&amp;B là vertical lớn nhất (323K outlets) nhưng chưa có product fit. LOWCA là F&amp;B-native solution — mua thì nhanh hơn build rất nhiều.</t>
  </si>
  <si>
    <t xml:space="preserve">  Bạn muốn gì sau M&amp;A</t>
  </si>
  <si>
    <t xml:space="preserve">Đây là câu hỏi quan trọng nhất. Deal structure phụ thuộc vào bạn muốn: (A) Exit hoàn toàn + tiền mặt, (B) Build tiếp trong CASSO, (C) Hybrid. Xem sheet 'Deal Structure'.</t>
  </si>
  <si>
    <t xml:space="preserve">Critical</t>
  </si>
  <si>
    <t xml:space="preserve">▌ 2. TƯ VẤN DEAL STRUCTURE — 3 Kịch bản và Khuyến nghị của Claude</t>
  </si>
  <si>
    <t xml:space="preserve">Phân tích dựa trên: bạn là insider CASSO + sweat equity team + stage pre-revenue + timeline 6 tháng. Mỗi kịch bản có trade-off khác nhau về tiền, control, và risk.</t>
  </si>
  <si>
    <t xml:space="preserve">Kịch bản</t>
  </si>
  <si>
    <t xml:space="preserve">Mô tả chi tiết</t>
  </si>
  <si>
    <t xml:space="preserve">Pros (Lợi)</t>
  </si>
  <si>
    <t xml:space="preserve">Cons (Hại)</t>
  </si>
  <si>
    <t xml:space="preserve">Recommendation</t>
  </si>
  <si>
    <t xml:space="preserve">A. Full Acquisition
(CASSO mua đứt 100%)</t>
  </si>
  <si>
    <t xml:space="preserve">CASSO mua toàn bộ LOWCA. Bạn và team nhận tiền mặt một lần hoặc trả dần. Team join CASSO 12–24 tháng (retention clause). IP, code, user data chuyển hoàn toàn sang CASSO.</t>
  </si>
  <si>
    <t xml:space="preserve">• Tiền mặt ngay
• Không chịu risk tiếp theo
• Đơn giản về pháp lý
• CASSO có full control để integrate nhanh</t>
  </si>
  <si>
    <t xml:space="preserve">• Mất upside nếu LOWCA phát triển mạnh sau M&amp;A
• Phụ thuộc vào CASSO execution
• Earnout khó đạt nếu CASSO không prioritize
• Khó negotiate cao khi pre-revenue</t>
  </si>
  <si>
    <t xml:space="preserve">⚠️ KHÔNG KHUYẾN NGHỊ ở giai đoạn này
Lý do: pre-revenue → valuation thấp nhất. Bán đứt khi chưa có traction = để lại upside lớn trên bàn.</t>
  </si>
  <si>
    <t xml:space="preserve">B. Strategic Investment
(CASSO mua 30–49%)</t>
  </si>
  <si>
    <t xml:space="preserve">CASSO đầu tư mua minority stake 30–49%. LOWCA vẫn là entity độc lập. Bạn vẫn là founder-CEO. CASSO có board seat. Hai bên cùng build, CASSO hỗ trợ distribution qua 200+ enterprise customers của họ.</t>
  </si>
  <si>
    <t xml:space="preserve">• Giữ upside nếu LOWCA scale tiếp
• Vẫn control sản phẩm
• CASSO làm distribution partner
• Valuation được set ở round cao hơn sau
• Có thể raise thêm từ bên khác</t>
  </si>
  <si>
    <t xml:space="preserve">• Phức tạp hơn về governance
• Cần thỏa thuận rõ ràng về anti-dilution, drag-along
• CASSO có thể không đủ committed như full owner
• Bạn vẫn phải run công ty (áp lực kép)</t>
  </si>
  <si>
    <t xml:space="preserve">✅ KHUYẾN NGHỊ NẾU bạn muốn tiếp tục build
Ask: 30% stake → CASSO trả ~$30K–50K USD + hỗ trợ distribution. Bạn giữ 70% + vẫn làm CASSO job.</t>
  </si>
  <si>
    <t xml:space="preserve">C. Acqui-hire + Product
(CASSO mua team + code)</t>
  </si>
  <si>
    <t xml:space="preserve">CASSO mua codebase + IP LOWCA. Toàn bộ team LOWCA (bạn + key members) join CASSO với vai trò mới: F&amp;B Product Squad. Không có entity LOWCA riêng nữa. Bạn lead F&amp;B product vertical tại CASSO.</t>
  </si>
  <si>
    <t xml:space="preserve">• Phù hợp nếu bạn muốn tập trung build product, không run startup
• Team có job security + lương CASSO
• CASSO integrate nhanh nhất
• Bạn có leverage nội bộ để xin budget lớn hơn
• Bonus tied to F&amp;B product milestones</t>
  </si>
  <si>
    <t xml:space="preserve">• Không có equity upside lớn
• Phụ thuộc vào CASSO internal politics
• Bạn không còn là founder độc lập
• Compensation cap bởi CASSO salary band</t>
  </si>
  <si>
    <t xml:space="preserve">⭐ KHUYẾN NGHỊ NHẤT cho bạn
Vì: (1) bạn đang làm CASSO, (2) team part-time cần job stability, (3) bạn build sản phẩm tốt hơn trong CASSO ecosystem hơn là chạy startup. Ask: Signing bonus + equity grant + lead F&amp;B vertical.</t>
  </si>
  <si>
    <t xml:space="preserve">▌ 3. LEVERAGE KHI ĐÀM PHÁN VỚI CASSO — Bạn mạnh hơn bạn nghĩ</t>
  </si>
  <si>
    <t xml:space="preserve">  🏢 Insider knowledge</t>
  </si>
  <si>
    <t xml:space="preserve">Bạn biết CASSO roadmap, budget cycle, và ai là decision maker. Pitch đúng lúc (sau khi CASSO vừa raise hoặc có quarter tốt).</t>
  </si>
  <si>
    <t xml:space="preserve">  👥 Ready-made team</t>
  </si>
  <si>
    <t xml:space="preserve">~10 người đã commit part-time = không tốn CASSO recruitment cost (~50M VND/hire). Pitch: 'bạn mua team + product, không chỉ code'.</t>
  </si>
  <si>
    <t xml:space="preserve">  🤖 AI capability rare</t>
  </si>
  <si>
    <t xml:space="preserve">AI scan menu giấy → e-menu là tính năng không ai trong VN đang có. CASSO không build được nhanh hơn mua. Technical moat thực sự.</t>
  </si>
  <si>
    <t xml:space="preserve">  📊 Transaction data signal</t>
  </si>
  <si>
    <t xml:space="preserve">25+ pilot quán = F&amp;B GMV data thực. CASSO cần data này để train credit scoring model cho BNPL/lending play tiếp theo.</t>
  </si>
  <si>
    <t xml:space="preserve">  ⏰ Timing: Open Banking</t>
  </si>
  <si>
    <t xml:space="preserve">Circular 64 vừa có hiệu lực T3/2025. CASSO đang race to capture merchant data. LOWCA = shortcut 6 tháng so với build từ đầu.</t>
  </si>
  <si>
    <t xml:space="preserve">  🔢 Alternative buyers exist</t>
  </si>
  <si>
    <t xml:space="preserve">Dù bạn approach CASSO first, MENTION rằng iPOS và Sapo cũng đang evaluate. Không nói dối, nhưng tạo urgency. 'Chúng tôi muốn CASSO first vì fit tốt nhất, nhưng có deadline.'</t>
  </si>
  <si>
    <t xml:space="preserve">▌ 4. PITCH TIMELINE — Từ Tháng 3 đến Close</t>
  </si>
  <si>
    <t xml:space="preserve">Tháng 3
Tuần 1–2</t>
  </si>
  <si>
    <t xml:space="preserve">PREPARATION</t>
  </si>
  <si>
    <t xml:space="preserve">Hoàn thiện M&amp;A deck (xem sheet 'Pitch Deck Checklist'). Book meeting với CASSO leadership qua kênh nội bộ — đừng qua HR hay formal channel, dùng quan hệ trực tiếp.</t>
  </si>
  <si>
    <t xml:space="preserve">Tháng 3
Tuần 3–4</t>
  </si>
  <si>
    <t xml:space="preserve">FIRST PITCH</t>
  </si>
  <si>
    <t xml:space="preserve">Demo live: AI scan menu → E-menu trong 90 giây. Show pilot data (10+ quán, GMV, NPS). Present strategic fit với CASSO (payOS + Open Banking). Kết thúc bằng: 'Chúng tôi muốn build cùng CASSO, đây là 3 kịch bản deal.'</t>
  </si>
  <si>
    <t xml:space="preserve">Tháng 4
Tuần 1–2</t>
  </si>
  <si>
    <t xml:space="preserve">TERM SHEET</t>
  </si>
  <si>
    <t xml:space="preserve">Nếu CASSO interested → request Letter of Intent (LOI) hoặc Term Sheet. LOI không binding nhưng lock CASSO vào process. Trong thời gian này, parallel contact iPOS/Sapo để có BATNA (Best Alternative to Negotiated Agreement).</t>
  </si>
  <si>
    <t xml:space="preserve">Tháng 4
Tuần 3–4</t>
  </si>
  <si>
    <t xml:space="preserve">NEGOTIATION</t>
  </si>
  <si>
    <t xml:space="preserve">Negotiate các điều khoản chính: valuation, structure (acqui-hire vs investment), retention bonus, earnout milestones, IP transfer. Dùng luật sư từ T2 để review.</t>
  </si>
  <si>
    <t xml:space="preserve">Tháng 5</t>
  </si>
  <si>
    <t xml:space="preserve">DUE DILIGENCE</t>
  </si>
  <si>
    <t xml:space="preserve">CASSO sẽ audit: code quality, IP ownership (ai sở hữu code?), user data compliance (PDPD Decree 2023), financial records. Chuẩn bị Data Room từ T2 để DD diễn ra nhanh (&lt;3 tuần).</t>
  </si>
  <si>
    <t xml:space="preserve">Tháng 6</t>
  </si>
  <si>
    <t xml:space="preserve">CLOSE</t>
  </si>
  <si>
    <t xml:space="preserve">Ký SPA (Share Purchase Agreement) hoặc Asset Purchase Agreement. Nhận payment tranche 1. Announce internally tại CASSO. Begin integration roadmap.</t>
  </si>
  <si>
    <t xml:space="preserve">▌ 5. ĐỊNH GIÁ KHI PITCH CASSO — Cách present valuation khi pre-revenue</t>
  </si>
  <si>
    <t xml:space="preserve">Pre-revenue startup KHÔNG dùng revenue multiple. Dùng: Cost basis + Strategic value + Comparable transactions.</t>
  </si>
  <si>
    <t xml:space="preserve">Phương pháp</t>
  </si>
  <si>
    <t xml:space="preserve">T3 (Pitch)</t>
  </si>
  <si>
    <t xml:space="preserve">T4–5 (Negotiate)</t>
  </si>
  <si>
    <t xml:space="preserve">Cost basis (cash + sweat equity)</t>
  </si>
  <si>
    <t xml:space="preserve">~204M VND (~$8.5K)</t>
  </si>
  <si>
    <t xml:space="preserve">~240M VND (~$10K)</t>
  </si>
  <si>
    <t xml:space="preserve">Sàn tối thiểu. Không để CASSO offer dưới mức này.</t>
  </si>
  <si>
    <t xml:space="preserve">Comparable: Mmenu, PosApp acquire</t>
  </si>
  <si>
    <t xml:space="preserve">$50K–200K USD</t>
  </si>
  <si>
    <t xml:space="preserve">Các deal tương tự trong VN F&amp;B SaaS 2022–2024.</t>
  </si>
  <si>
    <t xml:space="preserve">Strategic value premium</t>
  </si>
  <si>
    <t xml:space="preserve">3×–8× cost basis</t>
  </si>
  <si>
    <t xml:space="preserve">Phụ thuộc vào deal structure</t>
  </si>
  <si>
    <t xml:space="preserve">AI capability + team + F&amp;B data = không thể mua ngoài thị trường.</t>
  </si>
  <si>
    <t xml:space="preserve">ASK (Acqui-hire model — Option C)</t>
  </si>
  <si>
    <t xml:space="preserve">$15K–25K USD cash
+ equity grant CASSO
+ $5K/người team bonus</t>
  </si>
  <si>
    <t xml:space="preserve">Negotiate earnout:
+$20K nếu đạt
500 outlets T12/2026</t>
  </si>
  <si>
    <t xml:space="preserve">Total package value: ~$50K–80K USD cho cả team. Hợp lý với stage.</t>
  </si>
  <si>
    <t xml:space="preserve">ASK (Investment model — Option B)</t>
  </si>
  <si>
    <t xml:space="preserve">30% CASSO stake =
$20K–50K USD cash</t>
  </si>
  <si>
    <t xml:space="preserve">Anti-dilution
+ Pro-rata rights</t>
  </si>
  <si>
    <t xml:space="preserve">Valuation implied: $67K–167K. Hợp lý với pre-revenue AI startup VN.</t>
  </si>
  <si>
    <t xml:space="preserve">WALK AWAY PRICE</t>
  </si>
  <si>
    <t xml:space="preserve">&lt; $8K USD hoặc
&lt; 200M VND equivalent</t>
  </si>
  <si>
    <t xml:space="preserve">Nếu CASSO offer thấp hơn</t>
  </si>
  <si>
    <t xml:space="preserve">Thà approach iPOS/Sapo nếu CASSO không serious.</t>
  </si>
  <si>
    <t xml:space="preserve">▌ 6. DATA ROOM CHECKLIST — Chuẩn bị trước Tháng 3</t>
  </si>
  <si>
    <t xml:space="preserve">CASSO sẽ yêu cầu tất cả documents này trong DD. Chuẩn bị sớm = DD nhanh = deal close nhanh.</t>
  </si>
  <si>
    <t xml:space="preserve">T1</t>
  </si>
  <si>
    <t xml:space="preserve">✅ Technical</t>
  </si>
  <si>
    <t xml:space="preserve">AI accuracy report: test results trên 100 menu MSME thật (tên món, giá, category accuracy %)</t>
  </si>
  <si>
    <t xml:space="preserve">Architecture diagram: System design, data flow, API structure, tech stack</t>
  </si>
  <si>
    <t xml:space="preserve">T2</t>
  </si>
  <si>
    <t xml:space="preserve">✅ Legal</t>
  </si>
  <si>
    <t xml:space="preserve">IP ownership declaration: Ai sở hữu code? Có dùng open-source có license restriction không?</t>
  </si>
  <si>
    <t xml:space="preserve">Team agreements: Founder agreement, part-time contributor NDA + IP assignment</t>
  </si>
  <si>
    <t xml:space="preserve">Data privacy: Có thu thập user data không? Compliance với PDPD Decree 13/2023?</t>
  </si>
  <si>
    <t xml:space="preserve">✅ Business</t>
  </si>
  <si>
    <t xml:space="preserve">Pilot data: Số quán, TTV (Time-to-Value), scan-to-order rate, NPS, testimonials (video tốt nhất)</t>
  </si>
  <si>
    <t xml:space="preserve">GMV report: Tổng transaction value qua app theo tuần (dù nhỏ — cần có)</t>
  </si>
  <si>
    <t xml:space="preserve">T3</t>
  </si>
  <si>
    <t xml:space="preserve">✅ Financial</t>
  </si>
  <si>
    <t xml:space="preserve">Cap table: Ai sở hữu bao nhiêu % LOWCA? (nếu đã lập công ty)</t>
  </si>
  <si>
    <t xml:space="preserve">3-year projection: TAM/SAM/SOM + financial model (file này)</t>
  </si>
  <si>
    <t xml:space="preserve">✅ Product</t>
  </si>
  <si>
    <t xml:space="preserve">Demo video 3 phút: Chụp ảnh menu → AI scan → E-menu → QR order → Payment → Dashboard</t>
  </si>
  <si>
    <t xml:space="preserve">✅ Strategic</t>
  </si>
  <si>
    <t xml:space="preserve">Strategic fit deck: Tại sao LOWCA + CASSO = 1+1&gt;3 (payOS GMV + Open Banking data + F&amp;B vertical)</t>
  </si>
</sst>
</file>

<file path=xl/styles.xml><?xml version="1.0" encoding="utf-8"?>
<styleSheet xmlns="http://schemas.openxmlformats.org/spreadsheetml/2006/main">
  <numFmts count="2">
    <numFmt numFmtId="164" formatCode="General"/>
    <numFmt numFmtId="165" formatCode="#,##0"/>
  </numFmts>
  <fonts count="33">
    <font>
      <sz val="11"/>
      <color theme="1"/>
      <name val="Calibri"/>
      <family val="2"/>
      <charset val="1"/>
    </font>
    <font>
      <sz val="10"/>
      <name val="Arial"/>
      <family val="0"/>
    </font>
    <font>
      <sz val="10"/>
      <name val="Arial"/>
      <family val="0"/>
    </font>
    <font>
      <sz val="10"/>
      <name val="Arial"/>
      <family val="0"/>
    </font>
    <font>
      <b val="true"/>
      <sz val="13"/>
      <color rgb="FFFFFFFF"/>
      <name val="Calibri"/>
      <family val="0"/>
      <charset val="1"/>
    </font>
    <font>
      <b val="true"/>
      <sz val="9"/>
      <color rgb="FFFFFFFF"/>
      <name val="Calibri"/>
      <family val="0"/>
      <charset val="1"/>
    </font>
    <font>
      <b val="true"/>
      <sz val="10"/>
      <color rgb="FFFFFFFF"/>
      <name val="Calibri"/>
      <family val="0"/>
      <charset val="1"/>
    </font>
    <font>
      <i val="true"/>
      <sz val="8"/>
      <color rgb="FF595959"/>
      <name val="Calibri"/>
      <family val="0"/>
      <charset val="1"/>
    </font>
    <font>
      <b val="true"/>
      <sz val="9"/>
      <color rgb="FF1F3864"/>
      <name val="Calibri"/>
      <family val="0"/>
      <charset val="1"/>
    </font>
    <font>
      <b val="true"/>
      <sz val="8"/>
      <color rgb="FF375623"/>
      <name val="Calibri"/>
      <family val="0"/>
      <charset val="1"/>
    </font>
    <font>
      <sz val="8"/>
      <color rgb="FF000000"/>
      <name val="Calibri"/>
      <family val="0"/>
      <charset val="1"/>
    </font>
    <font>
      <sz val="8"/>
      <color rgb="FF375623"/>
      <name val="Calibri"/>
      <family val="0"/>
      <charset val="1"/>
    </font>
    <font>
      <sz val="8"/>
      <color rgb="FF595959"/>
      <name val="Calibri"/>
      <family val="0"/>
      <charset val="1"/>
    </font>
    <font>
      <sz val="9"/>
      <color rgb="FF000000"/>
      <name val="Calibri"/>
      <family val="0"/>
      <charset val="1"/>
    </font>
    <font>
      <b val="true"/>
      <sz val="9"/>
      <color rgb="FF0000FF"/>
      <name val="Calibri"/>
      <family val="0"/>
      <charset val="1"/>
    </font>
    <font>
      <b val="true"/>
      <sz val="10"/>
      <color rgb="FF000000"/>
      <name val="Calibri"/>
      <family val="0"/>
      <charset val="1"/>
    </font>
    <font>
      <b val="true"/>
      <sz val="9"/>
      <color rgb="FFC55A11"/>
      <name val="Calibri"/>
      <family val="0"/>
      <charset val="1"/>
    </font>
    <font>
      <b val="true"/>
      <sz val="9"/>
      <color rgb="FF4B0082"/>
      <name val="Calibri"/>
      <family val="0"/>
      <charset val="1"/>
    </font>
    <font>
      <sz val="8"/>
      <color rgb="FF4B0082"/>
      <name val="Calibri"/>
      <family val="0"/>
      <charset val="1"/>
    </font>
    <font>
      <b val="true"/>
      <sz val="10"/>
      <color rgb="FF1F3864"/>
      <name val="Calibri"/>
      <family val="0"/>
      <charset val="1"/>
    </font>
    <font>
      <i val="true"/>
      <sz val="8"/>
      <color rgb="FF1F3864"/>
      <name val="Calibri"/>
      <family val="0"/>
      <charset val="1"/>
    </font>
    <font>
      <sz val="9"/>
      <color rgb="FF375623"/>
      <name val="Calibri"/>
      <family val="0"/>
      <charset val="1"/>
    </font>
    <font>
      <sz val="9"/>
      <color rgb="FF595959"/>
      <name val="Calibri"/>
      <family val="0"/>
      <charset val="1"/>
    </font>
    <font>
      <i val="true"/>
      <sz val="8"/>
      <color rgb="FFFFFFFF"/>
      <name val="Calibri"/>
      <family val="0"/>
      <charset val="1"/>
    </font>
    <font>
      <b val="true"/>
      <sz val="10"/>
      <color rgb="FF7F6000"/>
      <name val="Calibri"/>
      <family val="0"/>
      <charset val="1"/>
    </font>
    <font>
      <b val="true"/>
      <sz val="10"/>
      <color rgb="FFC55A11"/>
      <name val="Calibri"/>
      <family val="0"/>
      <charset val="1"/>
    </font>
    <font>
      <b val="true"/>
      <sz val="9"/>
      <color rgb="FF722F37"/>
      <name val="Calibri"/>
      <family val="0"/>
      <charset val="1"/>
    </font>
    <font>
      <sz val="9"/>
      <color rgb="FF722F37"/>
      <name val="Calibri"/>
      <family val="0"/>
      <charset val="1"/>
    </font>
    <font>
      <sz val="8"/>
      <color rgb="FFC55A11"/>
      <name val="Calibri"/>
      <family val="0"/>
      <charset val="1"/>
    </font>
    <font>
      <sz val="8"/>
      <color rgb="FF722F37"/>
      <name val="Calibri"/>
      <family val="0"/>
      <charset val="1"/>
    </font>
    <font>
      <b val="true"/>
      <sz val="9"/>
      <color rgb="FF375623"/>
      <name val="Calibri"/>
      <family val="0"/>
      <charset val="1"/>
    </font>
    <font>
      <b val="true"/>
      <sz val="11"/>
      <color rgb="FFFFFFFF"/>
      <name val="Calibri"/>
      <family val="0"/>
      <charset val="1"/>
    </font>
    <font>
      <b val="true"/>
      <sz val="8"/>
      <color rgb="FF722F37"/>
      <name val="Calibri"/>
      <family val="0"/>
      <charset val="1"/>
    </font>
  </fonts>
  <fills count="22">
    <fill>
      <patternFill patternType="none"/>
    </fill>
    <fill>
      <patternFill patternType="gray125"/>
    </fill>
    <fill>
      <patternFill patternType="solid">
        <fgColor rgb="FF1F3864"/>
        <bgColor rgb="FF333399"/>
      </patternFill>
    </fill>
    <fill>
      <patternFill patternType="solid">
        <fgColor rgb="FF595959"/>
        <bgColor rgb="FF375623"/>
      </patternFill>
    </fill>
    <fill>
      <patternFill patternType="solid">
        <fgColor rgb="FF2E75B6"/>
        <bgColor rgb="FF0066CC"/>
      </patternFill>
    </fill>
    <fill>
      <patternFill patternType="solid">
        <fgColor rgb="FF722F37"/>
        <bgColor rgb="FF993366"/>
      </patternFill>
    </fill>
    <fill>
      <patternFill patternType="solid">
        <fgColor rgb="FF375623"/>
        <bgColor rgb="FF595959"/>
      </patternFill>
    </fill>
    <fill>
      <patternFill patternType="solid">
        <fgColor rgb="FFF2F2F2"/>
        <bgColor rgb="FFFAFAFA"/>
      </patternFill>
    </fill>
    <fill>
      <patternFill patternType="solid">
        <fgColor rgb="FFDEEAF1"/>
        <bgColor rgb="FFE2EFDA"/>
      </patternFill>
    </fill>
    <fill>
      <patternFill patternType="solid">
        <fgColor rgb="FFFFFFFF"/>
        <bgColor rgb="FFFAFAFA"/>
      </patternFill>
    </fill>
    <fill>
      <patternFill patternType="solid">
        <fgColor rgb="FFFAFAFA"/>
        <bgColor rgb="FFFFFFFF"/>
      </patternFill>
    </fill>
    <fill>
      <patternFill patternType="solid">
        <fgColor rgb="FFD9D9D9"/>
        <bgColor rgb="FFDEEAF1"/>
      </patternFill>
    </fill>
    <fill>
      <patternFill patternType="solid">
        <fgColor rgb="FFFCE4D6"/>
        <bgColor rgb="FFFFF0E0"/>
      </patternFill>
    </fill>
    <fill>
      <patternFill patternType="solid">
        <fgColor rgb="FF4B0082"/>
        <bgColor rgb="FF800080"/>
      </patternFill>
    </fill>
    <fill>
      <patternFill patternType="solid">
        <fgColor rgb="FFBDD7EE"/>
        <bgColor rgb="FFD9D9D9"/>
      </patternFill>
    </fill>
    <fill>
      <patternFill patternType="solid">
        <fgColor rgb="FFE2EFDA"/>
        <bgColor rgb="FFDEEAF1"/>
      </patternFill>
    </fill>
    <fill>
      <patternFill patternType="solid">
        <fgColor rgb="FFF5FFF5"/>
        <bgColor rgb="FFFAFAFA"/>
      </patternFill>
    </fill>
    <fill>
      <patternFill patternType="solid">
        <fgColor rgb="FF70AD47"/>
        <bgColor rgb="FF339966"/>
      </patternFill>
    </fill>
    <fill>
      <patternFill patternType="solid">
        <fgColor rgb="FFFFF2CC"/>
        <bgColor rgb="FFFFF0E0"/>
      </patternFill>
    </fill>
    <fill>
      <patternFill patternType="solid">
        <fgColor rgb="FFFFF0E0"/>
        <bgColor rgb="FFFFF2CC"/>
      </patternFill>
    </fill>
    <fill>
      <patternFill patternType="solid">
        <fgColor rgb="FFC55A11"/>
        <bgColor rgb="FF993300"/>
      </patternFill>
    </fill>
    <fill>
      <patternFill patternType="solid">
        <fgColor rgb="FF7F6000"/>
        <bgColor rgb="FF59595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left" vertical="center" textRotation="0" wrapText="false" indent="0" shrinkToFit="false"/>
      <protection locked="true" hidden="false"/>
    </xf>
    <xf numFmtId="164" fontId="5" fillId="4" borderId="0" xfId="0" applyFont="true" applyBorder="false" applyAlignment="true" applyProtection="false">
      <alignment horizontal="center" vertical="center" textRotation="0" wrapText="true" indent="0" shrinkToFit="false"/>
      <protection locked="true" hidden="false"/>
    </xf>
    <xf numFmtId="164" fontId="5" fillId="5" borderId="0" xfId="0" applyFont="true" applyBorder="false" applyAlignment="true" applyProtection="false">
      <alignment horizontal="center" vertical="center" textRotation="0" wrapText="true" indent="0" shrinkToFit="false"/>
      <protection locked="true" hidden="false"/>
    </xf>
    <xf numFmtId="164" fontId="5" fillId="6" borderId="0" xfId="0" applyFont="true" applyBorder="fals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false" indent="1" shrinkToFit="false"/>
      <protection locked="true" hidden="false"/>
    </xf>
    <xf numFmtId="164" fontId="7" fillId="7" borderId="0" xfId="0" applyFont="true" applyBorder="true" applyAlignment="true" applyProtection="false">
      <alignment horizontal="left" vertical="center" textRotation="0" wrapText="true" indent="2" shrinkToFit="false"/>
      <protection locked="true" hidden="false"/>
    </xf>
    <xf numFmtId="164" fontId="8" fillId="8" borderId="0" xfId="0" applyFont="true" applyBorder="false" applyAlignment="true" applyProtection="false">
      <alignment horizontal="left" vertical="center" textRotation="0" wrapText="false" indent="0" shrinkToFit="false"/>
      <protection locked="true" hidden="false"/>
    </xf>
    <xf numFmtId="164" fontId="9" fillId="8" borderId="0" xfId="0" applyFont="true" applyBorder="false" applyAlignment="true" applyProtection="false">
      <alignment horizontal="center" vertical="center"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11" fillId="8" borderId="0" xfId="0" applyFont="true" applyBorder="false" applyAlignment="true" applyProtection="false">
      <alignment horizontal="center" vertical="center" textRotation="0" wrapText="false" indent="0" shrinkToFit="false"/>
      <protection locked="true" hidden="false"/>
    </xf>
    <xf numFmtId="164" fontId="7" fillId="8" borderId="0" xfId="0" applyFont="true" applyBorder="false" applyAlignment="true" applyProtection="false">
      <alignment horizontal="left" vertical="center" textRotation="0" wrapText="true" indent="0" shrinkToFit="false"/>
      <protection locked="true" hidden="false"/>
    </xf>
    <xf numFmtId="164" fontId="8" fillId="9" borderId="0" xfId="0" applyFont="true" applyBorder="false" applyAlignment="true" applyProtection="false">
      <alignment horizontal="left" vertical="center" textRotation="0" wrapText="false" indent="0" shrinkToFit="false"/>
      <protection locked="true" hidden="false"/>
    </xf>
    <xf numFmtId="164" fontId="10" fillId="9" borderId="0" xfId="0" applyFont="true" applyBorder="false" applyAlignment="true" applyProtection="false">
      <alignment horizontal="center" vertical="center" textRotation="0" wrapText="false" indent="0" shrinkToFit="false"/>
      <protection locked="true" hidden="false"/>
    </xf>
    <xf numFmtId="164" fontId="9" fillId="9" borderId="0" xfId="0" applyFont="true" applyBorder="false" applyAlignment="true" applyProtection="false">
      <alignment horizontal="center" vertical="center" textRotation="0" wrapText="false" indent="0" shrinkToFit="false"/>
      <protection locked="true" hidden="false"/>
    </xf>
    <xf numFmtId="164" fontId="12" fillId="9" borderId="0" xfId="0" applyFont="true" applyBorder="false" applyAlignment="true" applyProtection="false">
      <alignment horizontal="center" vertical="center" textRotation="0" wrapText="false" indent="0" shrinkToFit="false"/>
      <protection locked="true" hidden="false"/>
    </xf>
    <xf numFmtId="164" fontId="7" fillId="9" borderId="0" xfId="0" applyFont="true" applyBorder="false" applyAlignment="true" applyProtection="false">
      <alignment horizontal="left" vertical="center" textRotation="0" wrapText="true" indent="0" shrinkToFit="false"/>
      <protection locked="true" hidden="false"/>
    </xf>
    <xf numFmtId="164" fontId="12" fillId="8" borderId="0" xfId="0" applyFont="true" applyBorder="false" applyAlignment="true" applyProtection="false">
      <alignment horizontal="center" vertical="center" textRotation="0" wrapText="false" indent="0" shrinkToFit="false"/>
      <protection locked="true" hidden="false"/>
    </xf>
    <xf numFmtId="164" fontId="11" fillId="9" borderId="0" xfId="0" applyFont="true" applyBorder="fals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left" vertical="center" textRotation="0" wrapText="false" indent="1" shrinkToFit="false"/>
      <protection locked="true" hidden="false"/>
    </xf>
    <xf numFmtId="164" fontId="13" fillId="10" borderId="0" xfId="0" applyFont="true" applyBorder="false" applyAlignment="true" applyProtection="false">
      <alignment horizontal="left" vertical="center" textRotation="0" wrapText="false" indent="0" shrinkToFit="false"/>
      <protection locked="true" hidden="false"/>
    </xf>
    <xf numFmtId="165" fontId="14" fillId="10" borderId="0" xfId="0" applyFont="true" applyBorder="false" applyAlignment="true" applyProtection="false">
      <alignment horizontal="right" vertical="center" textRotation="0" wrapText="false" indent="0" shrinkToFit="false"/>
      <protection locked="true" hidden="false"/>
    </xf>
    <xf numFmtId="164" fontId="7" fillId="10" borderId="0" xfId="0" applyFont="true" applyBorder="false" applyAlignment="true" applyProtection="false">
      <alignment horizontal="left" vertical="center" textRotation="0" wrapText="true" indent="0" shrinkToFit="false"/>
      <protection locked="true" hidden="false"/>
    </xf>
    <xf numFmtId="164" fontId="13" fillId="7" borderId="0" xfId="0" applyFont="true" applyBorder="false" applyAlignment="true" applyProtection="false">
      <alignment horizontal="left" vertical="center" textRotation="0" wrapText="false" indent="0" shrinkToFit="false"/>
      <protection locked="true" hidden="false"/>
    </xf>
    <xf numFmtId="165" fontId="14" fillId="7" borderId="0" xfId="0" applyFont="true" applyBorder="false" applyAlignment="true" applyProtection="false">
      <alignment horizontal="right" vertical="center" textRotation="0" wrapText="false" indent="0" shrinkToFit="false"/>
      <protection locked="true" hidden="false"/>
    </xf>
    <xf numFmtId="164" fontId="7" fillId="7" borderId="0" xfId="0" applyFont="true" applyBorder="false" applyAlignment="true" applyProtection="false">
      <alignment horizontal="left" vertical="center" textRotation="0" wrapText="true" indent="0" shrinkToFit="false"/>
      <protection locked="true" hidden="false"/>
    </xf>
    <xf numFmtId="164" fontId="15" fillId="11" borderId="0" xfId="0" applyFont="true" applyBorder="false" applyAlignment="true" applyProtection="false">
      <alignment horizontal="left" vertical="center" textRotation="0" wrapText="false" indent="0" shrinkToFit="false"/>
      <protection locked="true" hidden="false"/>
    </xf>
    <xf numFmtId="165" fontId="15" fillId="11" borderId="0" xfId="0" applyFont="true" applyBorder="false" applyAlignment="true" applyProtection="false">
      <alignment horizontal="right" vertical="center" textRotation="0" wrapText="false" indent="0" shrinkToFit="false"/>
      <protection locked="true" hidden="false"/>
    </xf>
    <xf numFmtId="164" fontId="13" fillId="11" borderId="0" xfId="0" applyFont="true" applyBorder="false" applyAlignment="true" applyProtection="false">
      <alignment horizontal="left" vertical="center" textRotation="0" wrapText="false" indent="0" shrinkToFit="false"/>
      <protection locked="true" hidden="false"/>
    </xf>
    <xf numFmtId="164" fontId="16" fillId="12" borderId="0" xfId="0" applyFont="true" applyBorder="false" applyAlignment="true" applyProtection="false">
      <alignment horizontal="left" vertical="center" textRotation="0" wrapText="false" indent="0" shrinkToFit="false"/>
      <protection locked="true" hidden="false"/>
    </xf>
    <xf numFmtId="165" fontId="16" fillId="12" borderId="0" xfId="0" applyFont="true" applyBorder="false" applyAlignment="true" applyProtection="false">
      <alignment horizontal="right" vertical="center" textRotation="0" wrapText="false" indent="0" shrinkToFit="false"/>
      <protection locked="true" hidden="false"/>
    </xf>
    <xf numFmtId="164" fontId="7" fillId="12" borderId="0" xfId="0" applyFont="true" applyBorder="false" applyAlignment="true" applyProtection="false">
      <alignment horizontal="left" vertical="center" textRotation="0" wrapText="true" indent="0" shrinkToFit="false"/>
      <protection locked="true" hidden="false"/>
    </xf>
    <xf numFmtId="164" fontId="6" fillId="13" borderId="0" xfId="0" applyFont="true" applyBorder="true" applyAlignment="true" applyProtection="false">
      <alignment horizontal="left" vertical="center" textRotation="0" wrapText="false" indent="1" shrinkToFit="false"/>
      <protection locked="true" hidden="false"/>
    </xf>
    <xf numFmtId="164" fontId="17" fillId="8" borderId="0" xfId="0" applyFont="true" applyBorder="false" applyAlignment="true" applyProtection="false">
      <alignment horizontal="left" vertical="center" textRotation="0" wrapText="false" indent="0" shrinkToFit="false"/>
      <protection locked="true" hidden="false"/>
    </xf>
    <xf numFmtId="164" fontId="18" fillId="8" borderId="0" xfId="0" applyFont="true" applyBorder="false" applyAlignment="true" applyProtection="false">
      <alignment horizontal="center" vertical="center" textRotation="0" wrapText="false" indent="0" shrinkToFit="false"/>
      <protection locked="true" hidden="false"/>
    </xf>
    <xf numFmtId="165" fontId="17" fillId="8" borderId="0" xfId="0" applyFont="true" applyBorder="false" applyAlignment="true" applyProtection="false">
      <alignment horizontal="right" vertical="center" textRotation="0" wrapText="false" indent="0" shrinkToFit="false"/>
      <protection locked="true" hidden="false"/>
    </xf>
    <xf numFmtId="164" fontId="7" fillId="8" borderId="0" xfId="0" applyFont="true" applyBorder="true" applyAlignment="true" applyProtection="false">
      <alignment horizontal="left" vertical="center" textRotation="0" wrapText="false" indent="0" shrinkToFit="false"/>
      <protection locked="true" hidden="false"/>
    </xf>
    <xf numFmtId="164" fontId="17" fillId="9" borderId="0" xfId="0" applyFont="true" applyBorder="false" applyAlignment="true" applyProtection="false">
      <alignment horizontal="left" vertical="center" textRotation="0" wrapText="false" indent="0" shrinkToFit="false"/>
      <protection locked="true" hidden="false"/>
    </xf>
    <xf numFmtId="164" fontId="18" fillId="9" borderId="0" xfId="0" applyFont="true" applyBorder="false" applyAlignment="true" applyProtection="false">
      <alignment horizontal="center" vertical="center" textRotation="0" wrapText="false" indent="0" shrinkToFit="false"/>
      <protection locked="true" hidden="false"/>
    </xf>
    <xf numFmtId="165" fontId="17" fillId="9" borderId="0" xfId="0" applyFont="true" applyBorder="false" applyAlignment="true" applyProtection="false">
      <alignment horizontal="right" vertical="center" textRotation="0" wrapText="false" indent="0" shrinkToFit="false"/>
      <protection locked="true" hidden="false"/>
    </xf>
    <xf numFmtId="164" fontId="7" fillId="9" borderId="0" xfId="0" applyFont="true" applyBorder="true" applyAlignment="true" applyProtection="false">
      <alignment horizontal="left" vertical="center" textRotation="0" wrapText="false" indent="0" shrinkToFit="false"/>
      <protection locked="true" hidden="false"/>
    </xf>
    <xf numFmtId="164" fontId="19" fillId="14" borderId="0" xfId="0" applyFont="true" applyBorder="false" applyAlignment="true" applyProtection="false">
      <alignment horizontal="left" vertical="center" textRotation="0" wrapText="false" indent="0" shrinkToFit="false"/>
      <protection locked="true" hidden="false"/>
    </xf>
    <xf numFmtId="164" fontId="19" fillId="14" borderId="0" xfId="0" applyFont="true" applyBorder="false" applyAlignment="true" applyProtection="false">
      <alignment horizontal="right" vertical="center" textRotation="0" wrapText="false" indent="0" shrinkToFit="false"/>
      <protection locked="true" hidden="false"/>
    </xf>
    <xf numFmtId="164" fontId="20" fillId="14" borderId="0" xfId="0" applyFont="true" applyBorder="true" applyAlignment="true" applyProtection="false">
      <alignment horizontal="left" vertical="center" textRotation="0" wrapText="true" indent="0" shrinkToFit="false"/>
      <protection locked="true" hidden="false"/>
    </xf>
    <xf numFmtId="164" fontId="6" fillId="6" borderId="0" xfId="0" applyFont="true" applyBorder="true" applyAlignment="true" applyProtection="false">
      <alignment horizontal="left" vertical="center" textRotation="0" wrapText="false" indent="1" shrinkToFit="false"/>
      <protection locked="true" hidden="false"/>
    </xf>
    <xf numFmtId="164" fontId="21" fillId="15" borderId="0" xfId="0" applyFont="true" applyBorder="false" applyAlignment="true" applyProtection="false">
      <alignment horizontal="left" vertical="center" textRotation="0" wrapText="false" indent="0" shrinkToFit="false"/>
      <protection locked="true" hidden="false"/>
    </xf>
    <xf numFmtId="165" fontId="21" fillId="15" borderId="0" xfId="0" applyFont="true" applyBorder="false" applyAlignment="true" applyProtection="false">
      <alignment horizontal="right" vertical="center" textRotation="0" wrapText="false" indent="0" shrinkToFit="false"/>
      <protection locked="true" hidden="false"/>
    </xf>
    <xf numFmtId="164" fontId="7" fillId="15" borderId="0" xfId="0" applyFont="true" applyBorder="false" applyAlignment="true" applyProtection="false">
      <alignment horizontal="left" vertical="center" textRotation="0" wrapText="true" indent="0" shrinkToFit="false"/>
      <protection locked="true" hidden="false"/>
    </xf>
    <xf numFmtId="164" fontId="21" fillId="16" borderId="0" xfId="0" applyFont="true" applyBorder="false" applyAlignment="true" applyProtection="false">
      <alignment horizontal="left" vertical="center" textRotation="0" wrapText="false" indent="0" shrinkToFit="false"/>
      <protection locked="true" hidden="false"/>
    </xf>
    <xf numFmtId="165" fontId="22" fillId="16" borderId="0" xfId="0" applyFont="true" applyBorder="false" applyAlignment="true" applyProtection="false">
      <alignment horizontal="right" vertical="center" textRotation="0" wrapText="false" indent="0" shrinkToFit="false"/>
      <protection locked="true" hidden="false"/>
    </xf>
    <xf numFmtId="165" fontId="21" fillId="16" borderId="0" xfId="0" applyFont="true" applyBorder="false" applyAlignment="true" applyProtection="false">
      <alignment horizontal="right" vertical="center" textRotation="0" wrapText="false" indent="0" shrinkToFit="false"/>
      <protection locked="true" hidden="false"/>
    </xf>
    <xf numFmtId="164" fontId="7" fillId="16" borderId="0" xfId="0" applyFont="true" applyBorder="false" applyAlignment="true" applyProtection="false">
      <alignment horizontal="left" vertical="center" textRotation="0" wrapText="true" indent="0" shrinkToFit="false"/>
      <protection locked="true" hidden="false"/>
    </xf>
    <xf numFmtId="165" fontId="22" fillId="15" borderId="0" xfId="0" applyFont="true" applyBorder="false" applyAlignment="true" applyProtection="false">
      <alignment horizontal="right" vertical="center" textRotation="0" wrapText="false" indent="0" shrinkToFit="false"/>
      <protection locked="true" hidden="false"/>
    </xf>
    <xf numFmtId="164" fontId="6" fillId="17" borderId="0" xfId="0" applyFont="true" applyBorder="false" applyAlignment="true" applyProtection="false">
      <alignment horizontal="left" vertical="center" textRotation="0" wrapText="false" indent="0" shrinkToFit="false"/>
      <protection locked="true" hidden="false"/>
    </xf>
    <xf numFmtId="165" fontId="6" fillId="17" borderId="0" xfId="0" applyFont="true" applyBorder="false" applyAlignment="true" applyProtection="false">
      <alignment horizontal="right" vertical="center" textRotation="0" wrapText="false" indent="0" shrinkToFit="false"/>
      <protection locked="true" hidden="false"/>
    </xf>
    <xf numFmtId="164" fontId="23" fillId="17" borderId="0" xfId="0" applyFont="true" applyBorder="false" applyAlignment="true" applyProtection="false">
      <alignment horizontal="left" vertical="center" textRotation="0" wrapText="true" indent="0" shrinkToFit="false"/>
      <protection locked="true" hidden="false"/>
    </xf>
    <xf numFmtId="164" fontId="24" fillId="18" borderId="0" xfId="0" applyFont="true" applyBorder="false" applyAlignment="true" applyProtection="false">
      <alignment horizontal="left" vertical="center" textRotation="0" wrapText="false" indent="0" shrinkToFit="false"/>
      <protection locked="true" hidden="false"/>
    </xf>
    <xf numFmtId="165" fontId="25" fillId="18" borderId="0" xfId="0" applyFont="true" applyBorder="false" applyAlignment="true" applyProtection="false">
      <alignment horizontal="right" vertical="center" textRotation="0" wrapText="false" indent="0" shrinkToFit="false"/>
      <protection locked="true" hidden="false"/>
    </xf>
    <xf numFmtId="164" fontId="7" fillId="18" borderId="0" xfId="0" applyFont="true" applyBorder="false" applyAlignment="true" applyProtection="false">
      <alignment horizontal="left" vertical="center" textRotation="0" wrapText="true" indent="0" shrinkToFit="false"/>
      <protection locked="true" hidden="false"/>
    </xf>
    <xf numFmtId="164" fontId="6" fillId="5" borderId="0" xfId="0" applyFont="true" applyBorder="true" applyAlignment="true" applyProtection="false">
      <alignment horizontal="left" vertical="center" textRotation="0" wrapText="false" indent="1" shrinkToFit="false"/>
      <protection locked="true" hidden="false"/>
    </xf>
    <xf numFmtId="164" fontId="13" fillId="19" borderId="0" xfId="0" applyFont="true" applyBorder="false" applyAlignment="true" applyProtection="false">
      <alignment horizontal="left" vertical="center" textRotation="0" wrapText="false" indent="0" shrinkToFit="false"/>
      <protection locked="true" hidden="false"/>
    </xf>
    <xf numFmtId="164" fontId="13" fillId="19" borderId="0" xfId="0" applyFont="true" applyBorder="false" applyAlignment="true" applyProtection="false">
      <alignment horizontal="right" vertical="center" textRotation="0" wrapText="false" indent="0" shrinkToFit="false"/>
      <protection locked="true" hidden="false"/>
    </xf>
    <xf numFmtId="164" fontId="13" fillId="19" borderId="0" xfId="0" applyFont="true" applyBorder="false" applyAlignment="true" applyProtection="false">
      <alignment horizontal="center" vertical="center" textRotation="0" wrapText="false" indent="0" shrinkToFit="false"/>
      <protection locked="true" hidden="false"/>
    </xf>
    <xf numFmtId="164" fontId="7" fillId="19" borderId="0" xfId="0" applyFont="true" applyBorder="true" applyAlignment="true" applyProtection="false">
      <alignment horizontal="left" vertical="center" textRotation="0" wrapText="false" indent="0" shrinkToFit="false"/>
      <protection locked="true" hidden="false"/>
    </xf>
    <xf numFmtId="164" fontId="13" fillId="9" borderId="0" xfId="0" applyFont="true" applyBorder="false" applyAlignment="true" applyProtection="false">
      <alignment horizontal="left" vertical="center" textRotation="0" wrapText="false" indent="0" shrinkToFit="false"/>
      <protection locked="true" hidden="false"/>
    </xf>
    <xf numFmtId="164" fontId="13" fillId="9" borderId="0" xfId="0" applyFont="true" applyBorder="false" applyAlignment="true" applyProtection="false">
      <alignment horizontal="right" vertical="center" textRotation="0" wrapText="false" indent="0" shrinkToFit="false"/>
      <protection locked="true" hidden="false"/>
    </xf>
    <xf numFmtId="164" fontId="13" fillId="9" borderId="0" xfId="0" applyFont="true" applyBorder="false" applyAlignment="true" applyProtection="false">
      <alignment horizontal="center" vertical="center" textRotation="0" wrapText="false" indent="0" shrinkToFit="false"/>
      <protection locked="true" hidden="false"/>
    </xf>
    <xf numFmtId="164" fontId="26" fillId="12" borderId="0" xfId="0" applyFont="true" applyBorder="false" applyAlignment="true" applyProtection="false">
      <alignment horizontal="left" vertical="center" textRotation="0" wrapText="false" indent="0" shrinkToFit="false"/>
      <protection locked="true" hidden="false"/>
    </xf>
    <xf numFmtId="164" fontId="26" fillId="12" borderId="0" xfId="0" applyFont="true" applyBorder="false" applyAlignment="true" applyProtection="false">
      <alignment horizontal="right" vertical="center" textRotation="0" wrapText="false" indent="0" shrinkToFit="false"/>
      <protection locked="true" hidden="false"/>
    </xf>
    <xf numFmtId="164" fontId="27" fillId="12" borderId="0" xfId="0" applyFont="true" applyBorder="false" applyAlignment="true" applyProtection="false">
      <alignment horizontal="center" vertical="center" textRotation="0" wrapText="false" indent="0" shrinkToFit="false"/>
      <protection locked="true" hidden="false"/>
    </xf>
    <xf numFmtId="164" fontId="7" fillId="12" borderId="0" xfId="0" applyFont="true" applyBorder="true" applyAlignment="true" applyProtection="false">
      <alignment horizontal="left" vertical="center" textRotation="0" wrapText="false" indent="0" shrinkToFit="false"/>
      <protection locked="true" hidden="false"/>
    </xf>
    <xf numFmtId="164" fontId="4" fillId="5" borderId="0" xfId="0" applyFont="true" applyBorder="true" applyAlignment="true" applyProtection="false">
      <alignment horizontal="center"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4" fontId="5" fillId="4" borderId="0" xfId="0" applyFont="true" applyBorder="false" applyAlignment="true" applyProtection="false">
      <alignment horizontal="center" vertical="center" textRotation="0" wrapText="false" indent="0" shrinkToFit="false"/>
      <protection locked="true" hidden="false"/>
    </xf>
    <xf numFmtId="164" fontId="5" fillId="5"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center" vertical="center" textRotation="0" wrapText="false" indent="0" shrinkToFit="false"/>
      <protection locked="true" hidden="false"/>
    </xf>
    <xf numFmtId="164" fontId="5" fillId="2" borderId="0" xfId="0" applyFont="true" applyBorder="false" applyAlignment="true" applyProtection="false">
      <alignment horizontal="center" vertical="center" textRotation="0" wrapText="false" indent="0" shrinkToFit="false"/>
      <protection locked="true" hidden="false"/>
    </xf>
    <xf numFmtId="164" fontId="5" fillId="13" borderId="0" xfId="0" applyFont="true" applyBorder="false" applyAlignment="true" applyProtection="false">
      <alignment horizontal="center" vertical="center" textRotation="0" wrapText="false" indent="0" shrinkToFit="false"/>
      <protection locked="true" hidden="false"/>
    </xf>
    <xf numFmtId="164" fontId="8" fillId="12" borderId="0" xfId="0" applyFont="true" applyBorder="false" applyAlignment="true" applyProtection="false">
      <alignment horizontal="left" vertical="center" textRotation="0" wrapText="true" indent="0" shrinkToFit="false"/>
      <protection locked="true" hidden="false"/>
    </xf>
    <xf numFmtId="164" fontId="10" fillId="9" borderId="0" xfId="0" applyFont="true" applyBorder="false" applyAlignment="true" applyProtection="false">
      <alignment horizontal="left" vertical="center" textRotation="0" wrapText="true" indent="0" shrinkToFit="false"/>
      <protection locked="true" hidden="false"/>
    </xf>
    <xf numFmtId="164" fontId="11" fillId="15" borderId="0" xfId="0" applyFont="true" applyBorder="false" applyAlignment="true" applyProtection="false">
      <alignment horizontal="left" vertical="center" textRotation="0" wrapText="true" indent="0" shrinkToFit="false"/>
      <protection locked="true" hidden="false"/>
    </xf>
    <xf numFmtId="164" fontId="28" fillId="12" borderId="0" xfId="0" applyFont="true" applyBorder="false" applyAlignment="true" applyProtection="false">
      <alignment horizontal="left" vertical="center" textRotation="0" wrapText="true" indent="0" shrinkToFit="false"/>
      <protection locked="true" hidden="false"/>
    </xf>
    <xf numFmtId="164" fontId="29" fillId="12" borderId="0" xfId="0" applyFont="true" applyBorder="false" applyAlignment="true" applyProtection="false">
      <alignment horizontal="left" vertical="center" textRotation="0" wrapText="true" indent="0" shrinkToFit="false"/>
      <protection locked="true" hidden="false"/>
    </xf>
    <xf numFmtId="164" fontId="8" fillId="8" borderId="0" xfId="0" applyFont="true" applyBorder="false" applyAlignment="true" applyProtection="false">
      <alignment horizontal="left" vertical="center" textRotation="0" wrapText="true" indent="0" shrinkToFit="false"/>
      <protection locked="true" hidden="false"/>
    </xf>
    <xf numFmtId="164" fontId="29" fillId="18" borderId="0" xfId="0" applyFont="true" applyBorder="false" applyAlignment="true" applyProtection="false">
      <alignment horizontal="left" vertical="center" textRotation="0" wrapText="true" indent="0" shrinkToFit="false"/>
      <protection locked="true" hidden="false"/>
    </xf>
    <xf numFmtId="164" fontId="8" fillId="15" borderId="0" xfId="0" applyFont="true" applyBorder="false" applyAlignment="true" applyProtection="false">
      <alignment horizontal="left" vertical="center" textRotation="0" wrapText="true" indent="0" shrinkToFit="false"/>
      <protection locked="true" hidden="false"/>
    </xf>
    <xf numFmtId="164" fontId="9" fillId="15" borderId="0" xfId="0" applyFont="true" applyBorder="false" applyAlignment="true" applyProtection="false">
      <alignment horizontal="left" vertical="center" textRotation="0" wrapText="true" indent="0" shrinkToFit="false"/>
      <protection locked="true" hidden="false"/>
    </xf>
    <xf numFmtId="164" fontId="30" fillId="16" borderId="0" xfId="0" applyFont="true" applyBorder="false" applyAlignment="true" applyProtection="false">
      <alignment horizontal="left" vertical="center" textRotation="0" wrapText="false" indent="0" shrinkToFit="false"/>
      <protection locked="true" hidden="false"/>
    </xf>
    <xf numFmtId="164" fontId="7" fillId="16" borderId="0" xfId="0" applyFont="true" applyBorder="true" applyAlignment="true" applyProtection="false">
      <alignment horizontal="left" vertical="center" textRotation="0" wrapText="false" indent="0" shrinkToFit="false"/>
      <protection locked="true" hidden="false"/>
    </xf>
    <xf numFmtId="164" fontId="30" fillId="15" borderId="0" xfId="0" applyFont="true" applyBorder="false" applyAlignment="true" applyProtection="false">
      <alignment horizontal="left" vertical="center" textRotation="0" wrapText="false" indent="0" shrinkToFit="false"/>
      <protection locked="true" hidden="false"/>
    </xf>
    <xf numFmtId="164" fontId="7" fillId="15" borderId="0" xfId="0" applyFont="true" applyBorder="true" applyAlignment="true" applyProtection="false">
      <alignment horizontal="left" vertical="center" textRotation="0" wrapText="false" indent="0" shrinkToFit="false"/>
      <protection locked="true" hidden="false"/>
    </xf>
    <xf numFmtId="164" fontId="6" fillId="4" borderId="0" xfId="0" applyFont="true" applyBorder="false" applyAlignment="true" applyProtection="false">
      <alignment horizontal="center" vertical="center" textRotation="0" wrapText="true" indent="0" shrinkToFit="false"/>
      <protection locked="true" hidden="false"/>
    </xf>
    <xf numFmtId="164" fontId="31" fillId="4" borderId="0" xfId="0" applyFont="true" applyBorder="false" applyAlignment="true" applyProtection="false">
      <alignment horizontal="center" vertical="center" textRotation="0" wrapText="false" indent="0" shrinkToFit="false"/>
      <protection locked="true" hidden="false"/>
    </xf>
    <xf numFmtId="164" fontId="10" fillId="10" borderId="0" xfId="0" applyFont="true" applyBorder="true" applyAlignment="true" applyProtection="false">
      <alignment horizontal="left" vertical="center" textRotation="0" wrapText="true" indent="0" shrinkToFit="false"/>
      <protection locked="true" hidden="false"/>
    </xf>
    <xf numFmtId="164" fontId="6" fillId="5" borderId="0" xfId="0" applyFont="true" applyBorder="false" applyAlignment="true" applyProtection="false">
      <alignment horizontal="center" vertical="center" textRotation="0" wrapText="true" indent="0" shrinkToFit="false"/>
      <protection locked="true" hidden="false"/>
    </xf>
    <xf numFmtId="164" fontId="31" fillId="5" borderId="0" xfId="0" applyFont="true" applyBorder="false" applyAlignment="true" applyProtection="false">
      <alignment horizontal="center" vertical="center" textRotation="0" wrapText="false" indent="0" shrinkToFit="false"/>
      <protection locked="true" hidden="false"/>
    </xf>
    <xf numFmtId="164" fontId="6" fillId="20" borderId="0" xfId="0" applyFont="true" applyBorder="false" applyAlignment="true" applyProtection="false">
      <alignment horizontal="center" vertical="center" textRotation="0" wrapText="true" indent="0" shrinkToFit="false"/>
      <protection locked="true" hidden="false"/>
    </xf>
    <xf numFmtId="164" fontId="31" fillId="20" borderId="0" xfId="0" applyFont="true" applyBorder="false" applyAlignment="true" applyProtection="false">
      <alignment horizontal="center" vertical="center" textRotation="0" wrapText="false" indent="0" shrinkToFit="false"/>
      <protection locked="true" hidden="false"/>
    </xf>
    <xf numFmtId="164" fontId="6" fillId="21" borderId="0" xfId="0" applyFont="true" applyBorder="false" applyAlignment="true" applyProtection="false">
      <alignment horizontal="center" vertical="center" textRotation="0" wrapText="true" indent="0" shrinkToFit="false"/>
      <protection locked="true" hidden="false"/>
    </xf>
    <xf numFmtId="164" fontId="31" fillId="21" borderId="0" xfId="0" applyFont="true" applyBorder="false" applyAlignment="true" applyProtection="false">
      <alignment horizontal="center" vertical="center" textRotation="0" wrapText="false" indent="0" shrinkToFit="false"/>
      <protection locked="true" hidden="false"/>
    </xf>
    <xf numFmtId="164" fontId="6" fillId="13" borderId="0" xfId="0" applyFont="true" applyBorder="false" applyAlignment="true" applyProtection="false">
      <alignment horizontal="center" vertical="center" textRotation="0" wrapText="true" indent="0" shrinkToFit="false"/>
      <protection locked="true" hidden="false"/>
    </xf>
    <xf numFmtId="164" fontId="31" fillId="13" borderId="0" xfId="0" applyFont="true" applyBorder="false" applyAlignment="true" applyProtection="false">
      <alignment horizontal="center" vertical="center" textRotation="0" wrapText="false" indent="0" shrinkToFit="false"/>
      <protection locked="true" hidden="false"/>
    </xf>
    <xf numFmtId="164" fontId="6" fillId="6" borderId="0" xfId="0" applyFont="true" applyBorder="false" applyAlignment="true" applyProtection="false">
      <alignment horizontal="center" vertical="center" textRotation="0" wrapText="true" indent="0" shrinkToFit="false"/>
      <protection locked="true" hidden="false"/>
    </xf>
    <xf numFmtId="164" fontId="31" fillId="6"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left" vertical="center" textRotation="0" wrapText="tru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10" fillId="9" borderId="0" xfId="0" applyFont="true" applyBorder="false" applyAlignment="true" applyProtection="false">
      <alignment horizontal="center" vertical="center" textRotation="0" wrapText="true" indent="0" shrinkToFit="false"/>
      <protection locked="true" hidden="false"/>
    </xf>
    <xf numFmtId="164" fontId="10" fillId="8" borderId="0" xfId="0" applyFont="true" applyBorder="false" applyAlignment="true" applyProtection="false">
      <alignment horizontal="left" vertical="center" textRotation="0" wrapText="true" indent="0" shrinkToFit="false"/>
      <protection locked="true" hidden="false"/>
    </xf>
    <xf numFmtId="164" fontId="10" fillId="8" borderId="0" xfId="0" applyFont="true" applyBorder="false" applyAlignment="true" applyProtection="false">
      <alignment horizontal="center" vertical="center" textRotation="0" wrapText="true" indent="0" shrinkToFit="false"/>
      <protection locked="true" hidden="false"/>
    </xf>
    <xf numFmtId="164" fontId="9" fillId="15" borderId="0" xfId="0" applyFont="true" applyBorder="false" applyAlignment="true" applyProtection="false">
      <alignment horizontal="center" vertical="center" textRotation="0" wrapText="true" indent="0" shrinkToFit="false"/>
      <protection locked="true" hidden="false"/>
    </xf>
    <xf numFmtId="164" fontId="32" fillId="12" borderId="0" xfId="0" applyFont="true" applyBorder="false" applyAlignment="true" applyProtection="false">
      <alignment horizontal="left" vertical="center" textRotation="0" wrapText="true" indent="0" shrinkToFit="false"/>
      <protection locked="true" hidden="false"/>
    </xf>
    <xf numFmtId="164" fontId="32" fillId="12" borderId="0" xfId="0" applyFont="true" applyBorder="false" applyAlignment="true" applyProtection="false">
      <alignment horizontal="center" vertical="center" textRotation="0" wrapText="true" indent="0" shrinkToFit="false"/>
      <protection locked="true" hidden="false"/>
    </xf>
    <xf numFmtId="164" fontId="30" fillId="15" borderId="0" xfId="0" applyFont="true" applyBorder="false" applyAlignment="true" applyProtection="false">
      <alignment horizontal="center" vertical="center" textRotation="0" wrapText="false" indent="0" shrinkToFit="false"/>
      <protection locked="true" hidden="false"/>
    </xf>
    <xf numFmtId="164" fontId="10" fillId="15"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D9D9D9"/>
      <rgbColor rgb="FF808080"/>
      <rgbColor rgb="FF9999FF"/>
      <rgbColor rgb="FF722F37"/>
      <rgbColor rgb="FFFFF2CC"/>
      <rgbColor rgb="FFDEEAF1"/>
      <rgbColor rgb="FF4B0082"/>
      <rgbColor rgb="FFFF8080"/>
      <rgbColor rgb="FF0066CC"/>
      <rgbColor rgb="FFBDD7EE"/>
      <rgbColor rgb="FF000080"/>
      <rgbColor rgb="FFFF00FF"/>
      <rgbColor rgb="FFFFFF00"/>
      <rgbColor rgb="FF00FFFF"/>
      <rgbColor rgb="FF800080"/>
      <rgbColor rgb="FF800000"/>
      <rgbColor rgb="FF008080"/>
      <rgbColor rgb="FF0000FF"/>
      <rgbColor rgb="FF00CCFF"/>
      <rgbColor rgb="FFF5FFF5"/>
      <rgbColor rgb="FFE2EFDA"/>
      <rgbColor rgb="FFFFF0E0"/>
      <rgbColor rgb="FFF2F2F2"/>
      <rgbColor rgb="FFFAFAFA"/>
      <rgbColor rgb="FFCC99FF"/>
      <rgbColor rgb="FFFCE4D6"/>
      <rgbColor rgb="FF2E75B6"/>
      <rgbColor rgb="FF33CCCC"/>
      <rgbColor rgb="FF99CC00"/>
      <rgbColor rgb="FFFFCC00"/>
      <rgbColor rgb="FFFF9900"/>
      <rgbColor rgb="FFC55A11"/>
      <rgbColor rgb="FF595959"/>
      <rgbColor rgb="FF70AD47"/>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7" min="2" style="0" width="13"/>
    <col collapsed="false" customWidth="true" hidden="false" outlineLevel="0" max="8" min="8" style="0" width="30"/>
  </cols>
  <sheetData>
    <row r="1" customFormat="false" ht="51.75" hidden="false" customHeight="true" outlineLevel="0" collapsed="false">
      <c r="A1" s="1" t="s">
        <v>0</v>
      </c>
      <c r="B1" s="1"/>
      <c r="C1" s="1"/>
      <c r="D1" s="1"/>
      <c r="E1" s="1"/>
      <c r="F1" s="1"/>
      <c r="G1" s="1"/>
      <c r="H1" s="1"/>
    </row>
    <row r="2" customFormat="false" ht="7.5" hidden="false" customHeight="true" outlineLevel="0" collapsed="false"/>
    <row r="3" customFormat="false" ht="36" hidden="false" customHeight="true" outlineLevel="0" collapsed="false">
      <c r="A3" s="2" t="s">
        <v>1</v>
      </c>
      <c r="B3" s="3" t="s">
        <v>2</v>
      </c>
      <c r="C3" s="3" t="s">
        <v>3</v>
      </c>
      <c r="D3" s="4" t="s">
        <v>4</v>
      </c>
      <c r="E3" s="4" t="s">
        <v>5</v>
      </c>
      <c r="F3" s="5" t="s">
        <v>6</v>
      </c>
      <c r="G3" s="5" t="s">
        <v>7</v>
      </c>
      <c r="H3" s="2" t="s">
        <v>8</v>
      </c>
    </row>
    <row r="4" customFormat="false" ht="18" hidden="false" customHeight="true" outlineLevel="0" collapsed="false">
      <c r="A4" s="6" t="s">
        <v>9</v>
      </c>
      <c r="B4" s="6"/>
      <c r="C4" s="6"/>
      <c r="D4" s="6"/>
      <c r="E4" s="6"/>
      <c r="F4" s="6"/>
      <c r="G4" s="6"/>
      <c r="H4" s="6"/>
    </row>
    <row r="5" customFormat="false" ht="18" hidden="false" customHeight="true" outlineLevel="0" collapsed="false">
      <c r="A5" s="7" t="s">
        <v>10</v>
      </c>
      <c r="B5" s="7"/>
      <c r="C5" s="7"/>
      <c r="D5" s="7"/>
      <c r="E5" s="7"/>
      <c r="F5" s="7"/>
      <c r="G5" s="7"/>
      <c r="H5" s="7"/>
    </row>
    <row r="6" customFormat="false" ht="18" hidden="false" customHeight="true" outlineLevel="0" collapsed="false">
      <c r="A6" s="8" t="s">
        <v>11</v>
      </c>
      <c r="B6" s="9" t="s">
        <v>12</v>
      </c>
      <c r="C6" s="9" t="s">
        <v>12</v>
      </c>
      <c r="D6" s="10" t="s">
        <v>13</v>
      </c>
      <c r="E6" s="10" t="s">
        <v>14</v>
      </c>
      <c r="F6" s="10" t="s">
        <v>14</v>
      </c>
      <c r="G6" s="11" t="s">
        <v>15</v>
      </c>
      <c r="H6" s="12" t="s">
        <v>16</v>
      </c>
    </row>
    <row r="7" customFormat="false" ht="18" hidden="false" customHeight="true" outlineLevel="0" collapsed="false">
      <c r="A7" s="13" t="s">
        <v>17</v>
      </c>
      <c r="B7" s="14" t="s">
        <v>18</v>
      </c>
      <c r="C7" s="14" t="s">
        <v>18</v>
      </c>
      <c r="D7" s="15" t="s">
        <v>19</v>
      </c>
      <c r="E7" s="14" t="s">
        <v>20</v>
      </c>
      <c r="F7" s="14" t="s">
        <v>20</v>
      </c>
      <c r="G7" s="16" t="s">
        <v>21</v>
      </c>
      <c r="H7" s="17" t="s">
        <v>22</v>
      </c>
    </row>
    <row r="8" customFormat="false" ht="18" hidden="false" customHeight="true" outlineLevel="0" collapsed="false">
      <c r="A8" s="8" t="s">
        <v>23</v>
      </c>
      <c r="B8" s="10" t="s">
        <v>24</v>
      </c>
      <c r="C8" s="10" t="s">
        <v>24</v>
      </c>
      <c r="D8" s="10" t="s">
        <v>25</v>
      </c>
      <c r="E8" s="18" t="s">
        <v>21</v>
      </c>
      <c r="F8" s="18" t="s">
        <v>21</v>
      </c>
      <c r="G8" s="18" t="s">
        <v>21</v>
      </c>
      <c r="H8" s="12" t="s">
        <v>26</v>
      </c>
    </row>
    <row r="9" customFormat="false" ht="18" hidden="false" customHeight="true" outlineLevel="0" collapsed="false">
      <c r="A9" s="13" t="s">
        <v>27</v>
      </c>
      <c r="B9" s="15" t="s">
        <v>28</v>
      </c>
      <c r="C9" s="15" t="s">
        <v>28</v>
      </c>
      <c r="D9" s="14" t="s">
        <v>29</v>
      </c>
      <c r="E9" s="14" t="s">
        <v>20</v>
      </c>
      <c r="F9" s="16" t="s">
        <v>21</v>
      </c>
      <c r="G9" s="16" t="s">
        <v>21</v>
      </c>
      <c r="H9" s="17" t="s">
        <v>30</v>
      </c>
    </row>
    <row r="10" customFormat="false" ht="18" hidden="false" customHeight="true" outlineLevel="0" collapsed="false">
      <c r="A10" s="8" t="s">
        <v>31</v>
      </c>
      <c r="B10" s="10" t="s">
        <v>32</v>
      </c>
      <c r="C10" s="10" t="s">
        <v>32</v>
      </c>
      <c r="D10" s="10" t="s">
        <v>33</v>
      </c>
      <c r="E10" s="18" t="s">
        <v>21</v>
      </c>
      <c r="F10" s="18" t="s">
        <v>21</v>
      </c>
      <c r="G10" s="18" t="s">
        <v>21</v>
      </c>
      <c r="H10" s="12" t="s">
        <v>34</v>
      </c>
    </row>
    <row r="11" customFormat="false" ht="18" hidden="false" customHeight="true" outlineLevel="0" collapsed="false">
      <c r="A11" s="13" t="s">
        <v>35</v>
      </c>
      <c r="B11" s="16" t="s">
        <v>21</v>
      </c>
      <c r="C11" s="16" t="s">
        <v>21</v>
      </c>
      <c r="D11" s="14" t="s">
        <v>36</v>
      </c>
      <c r="E11" s="19" t="s">
        <v>37</v>
      </c>
      <c r="F11" s="19" t="s">
        <v>38</v>
      </c>
      <c r="G11" s="19" t="s">
        <v>39</v>
      </c>
      <c r="H11" s="17" t="s">
        <v>40</v>
      </c>
    </row>
    <row r="12" customFormat="false" ht="18" hidden="false" customHeight="true" outlineLevel="0" collapsed="false"/>
    <row r="13" customFormat="false" ht="18" hidden="false" customHeight="true" outlineLevel="0" collapsed="false">
      <c r="A13" s="20" t="s">
        <v>41</v>
      </c>
      <c r="B13" s="20"/>
      <c r="C13" s="20"/>
      <c r="D13" s="20"/>
      <c r="E13" s="20"/>
      <c r="F13" s="20"/>
      <c r="G13" s="20"/>
      <c r="H13" s="20"/>
    </row>
    <row r="14" customFormat="false" ht="18" hidden="false" customHeight="true" outlineLevel="0" collapsed="false">
      <c r="A14" s="7" t="s">
        <v>42</v>
      </c>
      <c r="B14" s="7"/>
      <c r="C14" s="7"/>
      <c r="D14" s="7"/>
      <c r="E14" s="7"/>
      <c r="F14" s="7"/>
      <c r="G14" s="7"/>
      <c r="H14" s="7"/>
    </row>
    <row r="15" customFormat="false" ht="18" hidden="false" customHeight="true" outlineLevel="0" collapsed="false">
      <c r="A15" s="21" t="s">
        <v>43</v>
      </c>
      <c r="B15" s="22" t="n">
        <v>1500000</v>
      </c>
      <c r="C15" s="22" t="n">
        <v>2500000</v>
      </c>
      <c r="D15" s="22" t="n">
        <v>3000000</v>
      </c>
      <c r="E15" s="22" t="n">
        <v>2000000</v>
      </c>
      <c r="F15" s="22" t="n">
        <v>500000</v>
      </c>
      <c r="G15" s="22" t="n">
        <v>0</v>
      </c>
      <c r="H15" s="23" t="s">
        <v>44</v>
      </c>
    </row>
    <row r="16" customFormat="false" ht="18" hidden="false" customHeight="true" outlineLevel="0" collapsed="false">
      <c r="A16" s="24" t="s">
        <v>45</v>
      </c>
      <c r="B16" s="25" t="n">
        <v>800000</v>
      </c>
      <c r="C16" s="25" t="n">
        <v>800000</v>
      </c>
      <c r="D16" s="25" t="n">
        <v>1000000</v>
      </c>
      <c r="E16" s="25" t="n">
        <v>1000000</v>
      </c>
      <c r="F16" s="25" t="n">
        <v>1000000</v>
      </c>
      <c r="G16" s="25" t="n">
        <v>500000</v>
      </c>
      <c r="H16" s="26" t="s">
        <v>46</v>
      </c>
    </row>
    <row r="17" customFormat="false" ht="18" hidden="false" customHeight="true" outlineLevel="0" collapsed="false">
      <c r="A17" s="21" t="s">
        <v>47</v>
      </c>
      <c r="B17" s="22" t="n">
        <v>500000</v>
      </c>
      <c r="C17" s="22" t="n">
        <v>500000</v>
      </c>
      <c r="D17" s="22" t="n">
        <v>500000</v>
      </c>
      <c r="E17" s="22" t="n">
        <v>300000</v>
      </c>
      <c r="F17" s="22" t="n">
        <v>0</v>
      </c>
      <c r="G17" s="22" t="n">
        <v>0</v>
      </c>
      <c r="H17" s="23" t="s">
        <v>48</v>
      </c>
    </row>
    <row r="18" customFormat="false" ht="18" hidden="false" customHeight="true" outlineLevel="0" collapsed="false">
      <c r="A18" s="24" t="s">
        <v>49</v>
      </c>
      <c r="B18" s="25" t="n">
        <v>1000000</v>
      </c>
      <c r="C18" s="25" t="n">
        <v>1500000</v>
      </c>
      <c r="D18" s="25" t="n">
        <v>500000</v>
      </c>
      <c r="E18" s="25" t="n">
        <v>0</v>
      </c>
      <c r="F18" s="25" t="n">
        <v>0</v>
      </c>
      <c r="G18" s="25" t="n">
        <v>0</v>
      </c>
      <c r="H18" s="26" t="s">
        <v>50</v>
      </c>
    </row>
    <row r="19" customFormat="false" ht="18" hidden="false" customHeight="true" outlineLevel="0" collapsed="false">
      <c r="A19" s="21" t="s">
        <v>51</v>
      </c>
      <c r="B19" s="22" t="n">
        <v>0</v>
      </c>
      <c r="C19" s="22" t="n">
        <v>200000</v>
      </c>
      <c r="D19" s="22" t="n">
        <v>5000000</v>
      </c>
      <c r="E19" s="22" t="n">
        <v>10000000</v>
      </c>
      <c r="F19" s="22" t="n">
        <v>15000000</v>
      </c>
      <c r="G19" s="22" t="n">
        <v>8000000</v>
      </c>
      <c r="H19" s="23" t="s">
        <v>52</v>
      </c>
    </row>
    <row r="20" customFormat="false" ht="18" hidden="false" customHeight="true" outlineLevel="0" collapsed="false">
      <c r="A20" s="24" t="s">
        <v>53</v>
      </c>
      <c r="B20" s="25" t="n">
        <v>200000</v>
      </c>
      <c r="C20" s="25" t="n">
        <v>200000</v>
      </c>
      <c r="D20" s="25" t="n">
        <v>1500000</v>
      </c>
      <c r="E20" s="25" t="n">
        <v>1000000</v>
      </c>
      <c r="F20" s="25" t="n">
        <v>500000</v>
      </c>
      <c r="G20" s="25" t="n">
        <v>200000</v>
      </c>
      <c r="H20" s="26" t="s">
        <v>54</v>
      </c>
    </row>
    <row r="21" customFormat="false" ht="18" hidden="false" customHeight="true" outlineLevel="0" collapsed="false">
      <c r="A21" s="27" t="s">
        <v>55</v>
      </c>
      <c r="B21" s="28" t="n">
        <f aca="false">SUM(B15:B20)</f>
        <v>4000000</v>
      </c>
      <c r="C21" s="28" t="n">
        <f aca="false">SUM(C15:C20)</f>
        <v>5700000</v>
      </c>
      <c r="D21" s="28" t="n">
        <f aca="false">SUM(D15:D20)</f>
        <v>11500000</v>
      </c>
      <c r="E21" s="28" t="n">
        <f aca="false">SUM(E15:E20)</f>
        <v>14300000</v>
      </c>
      <c r="F21" s="28" t="n">
        <f aca="false">SUM(F15:F20)</f>
        <v>17000000</v>
      </c>
      <c r="G21" s="28" t="n">
        <f aca="false">SUM(G15:G20)</f>
        <v>8700000</v>
      </c>
      <c r="H21" s="29"/>
    </row>
    <row r="22" customFormat="false" ht="18" hidden="false" customHeight="true" outlineLevel="0" collapsed="false">
      <c r="A22" s="30" t="s">
        <v>56</v>
      </c>
      <c r="B22" s="31" t="n">
        <f aca="false">B21</f>
        <v>4000000</v>
      </c>
      <c r="C22" s="31" t="n">
        <f aca="false">B22+C21</f>
        <v>9700000</v>
      </c>
      <c r="D22" s="31" t="n">
        <f aca="false">C22+D21</f>
        <v>21200000</v>
      </c>
      <c r="E22" s="31" t="n">
        <f aca="false">D22+E21</f>
        <v>35500000</v>
      </c>
      <c r="F22" s="31" t="n">
        <f aca="false">E22+F21</f>
        <v>52500000</v>
      </c>
      <c r="G22" s="31" t="n">
        <f aca="false">F22+G21</f>
        <v>61200000</v>
      </c>
      <c r="H22" s="32" t="s">
        <v>57</v>
      </c>
    </row>
    <row r="23" customFormat="false" ht="18" hidden="false" customHeight="true" outlineLevel="0" collapsed="false"/>
    <row r="24" customFormat="false" ht="18" hidden="false" customHeight="true" outlineLevel="0" collapsed="false">
      <c r="A24" s="33" t="s">
        <v>58</v>
      </c>
      <c r="B24" s="33"/>
      <c r="C24" s="33"/>
      <c r="D24" s="33"/>
      <c r="E24" s="33"/>
      <c r="F24" s="33"/>
      <c r="G24" s="33"/>
      <c r="H24" s="33"/>
    </row>
    <row r="25" customFormat="false" ht="18" hidden="false" customHeight="true" outlineLevel="0" collapsed="false">
      <c r="A25" s="7" t="s">
        <v>59</v>
      </c>
      <c r="B25" s="7"/>
      <c r="C25" s="7"/>
      <c r="D25" s="7"/>
      <c r="E25" s="7"/>
      <c r="F25" s="7"/>
      <c r="G25" s="7"/>
      <c r="H25" s="7"/>
    </row>
    <row r="26" customFormat="false" ht="18" hidden="false" customHeight="true" outlineLevel="0" collapsed="false">
      <c r="A26" s="34" t="s">
        <v>60</v>
      </c>
      <c r="B26" s="35" t="s">
        <v>61</v>
      </c>
      <c r="C26" s="10" t="s">
        <v>62</v>
      </c>
      <c r="D26" s="10" t="s">
        <v>63</v>
      </c>
      <c r="E26" s="36" t="n">
        <v>50000000</v>
      </c>
      <c r="F26" s="37" t="s">
        <v>64</v>
      </c>
      <c r="G26" s="37"/>
      <c r="H26" s="37"/>
    </row>
    <row r="27" customFormat="false" ht="18" hidden="false" customHeight="true" outlineLevel="0" collapsed="false">
      <c r="A27" s="38" t="s">
        <v>65</v>
      </c>
      <c r="B27" s="39" t="s">
        <v>66</v>
      </c>
      <c r="C27" s="14" t="s">
        <v>67</v>
      </c>
      <c r="D27" s="14" t="s">
        <v>68</v>
      </c>
      <c r="E27" s="40" t="n">
        <v>30000000</v>
      </c>
      <c r="F27" s="41" t="s">
        <v>69</v>
      </c>
      <c r="G27" s="41"/>
      <c r="H27" s="41"/>
    </row>
    <row r="28" customFormat="false" ht="18" hidden="false" customHeight="true" outlineLevel="0" collapsed="false">
      <c r="A28" s="34" t="s">
        <v>70</v>
      </c>
      <c r="B28" s="35" t="s">
        <v>71</v>
      </c>
      <c r="C28" s="10" t="s">
        <v>72</v>
      </c>
      <c r="D28" s="10" t="s">
        <v>73</v>
      </c>
      <c r="E28" s="36" t="n">
        <v>40000000</v>
      </c>
      <c r="F28" s="37" t="s">
        <v>74</v>
      </c>
      <c r="G28" s="37"/>
      <c r="H28" s="37"/>
    </row>
    <row r="29" customFormat="false" ht="18" hidden="false" customHeight="true" outlineLevel="0" collapsed="false">
      <c r="A29" s="38" t="s">
        <v>75</v>
      </c>
      <c r="B29" s="39" t="s">
        <v>76</v>
      </c>
      <c r="C29" s="14" t="s">
        <v>77</v>
      </c>
      <c r="D29" s="14" t="s">
        <v>78</v>
      </c>
      <c r="E29" s="40" t="n">
        <v>24000000</v>
      </c>
      <c r="F29" s="41" t="s">
        <v>79</v>
      </c>
      <c r="G29" s="41"/>
      <c r="H29" s="41"/>
    </row>
    <row r="30" customFormat="false" ht="18" hidden="false" customHeight="true" outlineLevel="0" collapsed="false">
      <c r="A30" s="34" t="s">
        <v>80</v>
      </c>
      <c r="B30" s="35" t="s">
        <v>81</v>
      </c>
      <c r="C30" s="10" t="s">
        <v>62</v>
      </c>
      <c r="D30" s="10" t="s">
        <v>82</v>
      </c>
      <c r="E30" s="36" t="n">
        <v>60000000</v>
      </c>
      <c r="F30" s="37" t="s">
        <v>83</v>
      </c>
      <c r="G30" s="37"/>
      <c r="H30" s="37"/>
    </row>
    <row r="31" customFormat="false" ht="18" hidden="false" customHeight="true" outlineLevel="0" collapsed="false">
      <c r="A31" s="42" t="s">
        <v>84</v>
      </c>
      <c r="E31" s="43" t="s">
        <v>85</v>
      </c>
      <c r="F31" s="44" t="s">
        <v>86</v>
      </c>
      <c r="G31" s="44"/>
      <c r="H31" s="44"/>
    </row>
    <row r="32" customFormat="false" ht="18" hidden="false" customHeight="true" outlineLevel="0" collapsed="false">
      <c r="A32" s="7" t="s">
        <v>87</v>
      </c>
      <c r="B32" s="7"/>
      <c r="C32" s="7"/>
      <c r="D32" s="7"/>
      <c r="E32" s="7"/>
      <c r="F32" s="7"/>
      <c r="G32" s="7"/>
      <c r="H32" s="7"/>
    </row>
    <row r="33" customFormat="false" ht="18" hidden="false" customHeight="true" outlineLevel="0" collapsed="false"/>
    <row r="34" customFormat="false" ht="18" hidden="false" customHeight="true" outlineLevel="0" collapsed="false">
      <c r="A34" s="45" t="s">
        <v>88</v>
      </c>
      <c r="B34" s="45"/>
      <c r="C34" s="45"/>
      <c r="D34" s="45"/>
      <c r="E34" s="45"/>
      <c r="F34" s="45"/>
      <c r="G34" s="45"/>
      <c r="H34" s="45"/>
    </row>
    <row r="35" customFormat="false" ht="18" hidden="false" customHeight="true" outlineLevel="0" collapsed="false">
      <c r="A35" s="7" t="s">
        <v>89</v>
      </c>
      <c r="B35" s="7"/>
      <c r="C35" s="7"/>
      <c r="D35" s="7"/>
      <c r="E35" s="7"/>
      <c r="F35" s="7"/>
      <c r="G35" s="7"/>
      <c r="H35" s="7"/>
    </row>
    <row r="36" customFormat="false" ht="18" hidden="false" customHeight="true" outlineLevel="0" collapsed="false">
      <c r="A36" s="46" t="s">
        <v>90</v>
      </c>
      <c r="B36" s="47" t="n">
        <v>10</v>
      </c>
      <c r="C36" s="47" t="n">
        <v>10</v>
      </c>
      <c r="D36" s="47" t="n">
        <v>25</v>
      </c>
      <c r="E36" s="47" t="n">
        <v>25</v>
      </c>
      <c r="F36" s="47" t="n">
        <v>25</v>
      </c>
      <c r="G36" s="47" t="n">
        <v>25</v>
      </c>
      <c r="H36" s="48" t="s">
        <v>91</v>
      </c>
    </row>
    <row r="37" customFormat="false" ht="18" hidden="false" customHeight="true" outlineLevel="0" collapsed="false">
      <c r="A37" s="49" t="s">
        <v>92</v>
      </c>
      <c r="B37" s="50" t="n">
        <v>0</v>
      </c>
      <c r="C37" s="50" t="n">
        <v>0</v>
      </c>
      <c r="D37" s="50" t="n">
        <v>0</v>
      </c>
      <c r="E37" s="51" t="n">
        <v>3</v>
      </c>
      <c r="F37" s="51" t="n">
        <v>5</v>
      </c>
      <c r="G37" s="51" t="n">
        <v>8</v>
      </c>
      <c r="H37" s="52" t="s">
        <v>93</v>
      </c>
    </row>
    <row r="38" customFormat="false" ht="18" hidden="false" customHeight="true" outlineLevel="0" collapsed="false">
      <c r="A38" s="46" t="s">
        <v>94</v>
      </c>
      <c r="B38" s="53" t="n">
        <v>0</v>
      </c>
      <c r="C38" s="53" t="n">
        <v>0</v>
      </c>
      <c r="D38" s="53" t="n">
        <v>0</v>
      </c>
      <c r="E38" s="47" t="n">
        <v>99000</v>
      </c>
      <c r="F38" s="47" t="n">
        <v>99000</v>
      </c>
      <c r="G38" s="47" t="n">
        <v>149000</v>
      </c>
      <c r="H38" s="48" t="s">
        <v>95</v>
      </c>
    </row>
    <row r="39" customFormat="false" ht="18" hidden="false" customHeight="true" outlineLevel="0" collapsed="false">
      <c r="A39" s="49" t="s">
        <v>96</v>
      </c>
      <c r="B39" s="50" t="n">
        <v>0</v>
      </c>
      <c r="C39" s="50" t="n">
        <v>0</v>
      </c>
      <c r="D39" s="50" t="n">
        <v>0</v>
      </c>
      <c r="E39" s="51" t="n">
        <v>297000</v>
      </c>
      <c r="F39" s="51" t="n">
        <v>495000</v>
      </c>
      <c r="G39" s="51" t="n">
        <v>1192000</v>
      </c>
      <c r="H39" s="52" t="s">
        <v>97</v>
      </c>
    </row>
    <row r="40" customFormat="false" ht="18" hidden="false" customHeight="true" outlineLevel="0" collapsed="false">
      <c r="A40" s="46" t="s">
        <v>98</v>
      </c>
      <c r="B40" s="53" t="n">
        <v>0</v>
      </c>
      <c r="C40" s="53" t="n">
        <v>0</v>
      </c>
      <c r="D40" s="47" t="n">
        <v>500000000</v>
      </c>
      <c r="E40" s="47" t="n">
        <v>800000000</v>
      </c>
      <c r="F40" s="47" t="n">
        <v>800000000</v>
      </c>
      <c r="G40" s="47" t="n">
        <v>800000000</v>
      </c>
      <c r="H40" s="48" t="s">
        <v>99</v>
      </c>
    </row>
    <row r="41" customFormat="false" ht="18" hidden="false" customHeight="true" outlineLevel="0" collapsed="false">
      <c r="A41" s="54" t="s">
        <v>100</v>
      </c>
      <c r="B41" s="55" t="n">
        <v>0</v>
      </c>
      <c r="C41" s="55" t="n">
        <v>0</v>
      </c>
      <c r="D41" s="55" t="n">
        <v>0</v>
      </c>
      <c r="E41" s="55" t="n">
        <v>297000</v>
      </c>
      <c r="F41" s="55" t="n">
        <v>495000</v>
      </c>
      <c r="G41" s="55" t="n">
        <v>1192000</v>
      </c>
      <c r="H41" s="56" t="s">
        <v>101</v>
      </c>
    </row>
    <row r="42" customFormat="false" ht="18" hidden="false" customHeight="true" outlineLevel="0" collapsed="false"/>
    <row r="43" customFormat="false" ht="18" hidden="false" customHeight="true" outlineLevel="0" collapsed="false">
      <c r="A43" s="6" t="s">
        <v>102</v>
      </c>
      <c r="B43" s="6"/>
      <c r="C43" s="6"/>
      <c r="D43" s="6"/>
      <c r="E43" s="6"/>
      <c r="F43" s="6"/>
      <c r="G43" s="6"/>
      <c r="H43" s="6"/>
    </row>
    <row r="44" customFormat="false" ht="18" hidden="false" customHeight="true" outlineLevel="0" collapsed="false">
      <c r="A44" s="57" t="s">
        <v>103</v>
      </c>
      <c r="B44" s="58" t="n">
        <v>-4000000</v>
      </c>
      <c r="C44" s="58" t="n">
        <v>-5700000</v>
      </c>
      <c r="D44" s="58" t="n">
        <v>-11500000</v>
      </c>
      <c r="E44" s="58" t="n">
        <v>-14003000</v>
      </c>
      <c r="F44" s="58" t="n">
        <v>-16505000</v>
      </c>
      <c r="G44" s="58" t="n">
        <v>-7508000</v>
      </c>
      <c r="H44" s="59" t="s">
        <v>104</v>
      </c>
    </row>
    <row r="45" customFormat="false" ht="18" hidden="false" customHeight="true" outlineLevel="0" collapsed="false">
      <c r="A45" s="30" t="s">
        <v>105</v>
      </c>
      <c r="B45" s="31" t="n">
        <v>-4000000</v>
      </c>
      <c r="C45" s="31" t="n">
        <v>-9700000</v>
      </c>
      <c r="D45" s="31" t="n">
        <v>-21200000</v>
      </c>
      <c r="E45" s="31" t="n">
        <v>-35203000</v>
      </c>
      <c r="F45" s="31" t="n">
        <v>-51708000</v>
      </c>
      <c r="G45" s="31" t="n">
        <v>-59216000</v>
      </c>
      <c r="H45" s="32" t="s">
        <v>106</v>
      </c>
    </row>
    <row r="46" customFormat="false" ht="18" hidden="false" customHeight="true" outlineLevel="0" collapsed="false"/>
    <row r="47" customFormat="false" ht="18" hidden="false" customHeight="true" outlineLevel="0" collapsed="false">
      <c r="A47" s="60" t="s">
        <v>107</v>
      </c>
      <c r="B47" s="60"/>
      <c r="C47" s="60"/>
      <c r="D47" s="60"/>
      <c r="E47" s="60"/>
      <c r="F47" s="60"/>
      <c r="G47" s="60"/>
      <c r="H47" s="60"/>
    </row>
    <row r="48" customFormat="false" ht="18" hidden="false" customHeight="true" outlineLevel="0" collapsed="false">
      <c r="A48" s="61" t="s">
        <v>108</v>
      </c>
      <c r="B48" s="62" t="s">
        <v>109</v>
      </c>
      <c r="C48" s="63" t="s">
        <v>110</v>
      </c>
      <c r="D48" s="64" t="s">
        <v>111</v>
      </c>
      <c r="E48" s="64"/>
      <c r="F48" s="64"/>
      <c r="G48" s="64"/>
      <c r="H48" s="64"/>
    </row>
    <row r="49" customFormat="false" ht="18" hidden="false" customHeight="true" outlineLevel="0" collapsed="false">
      <c r="A49" s="65" t="s">
        <v>112</v>
      </c>
      <c r="B49" s="66" t="s">
        <v>113</v>
      </c>
      <c r="C49" s="67" t="s">
        <v>114</v>
      </c>
      <c r="D49" s="41" t="s">
        <v>115</v>
      </c>
      <c r="E49" s="41"/>
      <c r="F49" s="41"/>
      <c r="G49" s="41"/>
      <c r="H49" s="41"/>
    </row>
    <row r="50" customFormat="false" ht="18" hidden="false" customHeight="true" outlineLevel="0" collapsed="false">
      <c r="A50" s="61" t="s">
        <v>116</v>
      </c>
      <c r="B50" s="62" t="s">
        <v>117</v>
      </c>
      <c r="C50" s="63" t="s">
        <v>118</v>
      </c>
      <c r="D50" s="64" t="s">
        <v>119</v>
      </c>
      <c r="E50" s="64"/>
      <c r="F50" s="64"/>
      <c r="G50" s="64"/>
      <c r="H50" s="64"/>
    </row>
    <row r="51" customFormat="false" ht="18" hidden="false" customHeight="true" outlineLevel="0" collapsed="false">
      <c r="A51" s="65" t="s">
        <v>120</v>
      </c>
      <c r="B51" s="66" t="s">
        <v>121</v>
      </c>
      <c r="C51" s="67" t="s">
        <v>122</v>
      </c>
      <c r="D51" s="41" t="s">
        <v>123</v>
      </c>
      <c r="E51" s="41"/>
      <c r="F51" s="41"/>
      <c r="G51" s="41"/>
      <c r="H51" s="41"/>
    </row>
    <row r="52" customFormat="false" ht="18" hidden="false" customHeight="true" outlineLevel="0" collapsed="false">
      <c r="A52" s="61" t="s">
        <v>124</v>
      </c>
      <c r="B52" s="62" t="s">
        <v>125</v>
      </c>
      <c r="C52" s="63" t="s">
        <v>126</v>
      </c>
      <c r="D52" s="64" t="s">
        <v>127</v>
      </c>
      <c r="E52" s="64"/>
      <c r="F52" s="64"/>
      <c r="G52" s="64"/>
      <c r="H52" s="64"/>
    </row>
    <row r="53" customFormat="false" ht="18" hidden="false" customHeight="true" outlineLevel="0" collapsed="false">
      <c r="A53" s="68" t="s">
        <v>128</v>
      </c>
      <c r="B53" s="69" t="s">
        <v>129</v>
      </c>
      <c r="C53" s="70" t="s">
        <v>130</v>
      </c>
      <c r="D53" s="71" t="s">
        <v>131</v>
      </c>
      <c r="E53" s="71"/>
      <c r="F53" s="71"/>
      <c r="G53" s="71"/>
      <c r="H53" s="71"/>
    </row>
    <row r="54" customFormat="false" ht="18" hidden="false" customHeight="true" outlineLevel="0" collapsed="false">
      <c r="A54" s="61" t="s">
        <v>132</v>
      </c>
      <c r="B54" s="62" t="s">
        <v>133</v>
      </c>
      <c r="C54" s="63" t="s">
        <v>21</v>
      </c>
      <c r="D54" s="64" t="s">
        <v>134</v>
      </c>
      <c r="E54" s="64"/>
      <c r="F54" s="64"/>
      <c r="G54" s="64"/>
      <c r="H54" s="64"/>
    </row>
    <row r="55" customFormat="false" ht="18" hidden="false" customHeight="true" outlineLevel="0" collapsed="false">
      <c r="A55" s="68" t="s">
        <v>135</v>
      </c>
      <c r="B55" s="69" t="s">
        <v>136</v>
      </c>
      <c r="C55" s="70" t="s">
        <v>21</v>
      </c>
      <c r="D55" s="71" t="s">
        <v>137</v>
      </c>
      <c r="E55" s="71"/>
      <c r="F55" s="71"/>
      <c r="G55" s="71"/>
      <c r="H55" s="71"/>
    </row>
    <row r="56" customFormat="false" ht="18" hidden="false" customHeight="true" outlineLevel="0" collapsed="false"/>
    <row r="57" customFormat="false" ht="18" hidden="false" customHeight="true" outlineLevel="0" collapsed="false"/>
    <row r="58" customFormat="false" ht="18" hidden="false" customHeight="true" outlineLevel="0" collapsed="false"/>
    <row r="59" customFormat="false" ht="18" hidden="false" customHeight="true" outlineLevel="0" collapsed="false"/>
    <row r="60" customFormat="false" ht="18" hidden="false" customHeight="true" outlineLevel="0" collapsed="false"/>
    <row r="61" customFormat="false" ht="18" hidden="false" customHeight="true" outlineLevel="0" collapsed="false"/>
    <row r="62" customFormat="false" ht="18" hidden="false" customHeight="true" outlineLevel="0" collapsed="false"/>
    <row r="63" customFormat="false" ht="18" hidden="false" customHeight="true" outlineLevel="0" collapsed="false"/>
    <row r="64" customFormat="false" ht="18" hidden="false" customHeight="true" outlineLevel="0" collapsed="false"/>
    <row r="65" customFormat="false" ht="18" hidden="false" customHeight="true" outlineLevel="0" collapsed="false"/>
    <row r="66" customFormat="false" ht="18" hidden="false" customHeight="true" outlineLevel="0" collapsed="false"/>
    <row r="67" customFormat="false" ht="18" hidden="false" customHeight="true" outlineLevel="0" collapsed="false"/>
    <row r="68" customFormat="false" ht="18" hidden="false" customHeight="true" outlineLevel="0" collapsed="false"/>
    <row r="69" customFormat="false" ht="18" hidden="false" customHeight="true" outlineLevel="0" collapsed="false"/>
    <row r="70" customFormat="false" ht="18" hidden="false" customHeight="true" outlineLevel="0" collapsed="false"/>
    <row r="71" customFormat="false" ht="18" hidden="false" customHeight="true" outlineLevel="0" collapsed="false"/>
    <row r="72" customFormat="false" ht="18" hidden="false" customHeight="true" outlineLevel="0" collapsed="false"/>
    <row r="73" customFormat="false" ht="18" hidden="false" customHeight="true" outlineLevel="0" collapsed="false"/>
    <row r="74" customFormat="false" ht="18" hidden="false" customHeight="true" outlineLevel="0" collapsed="false"/>
    <row r="75" customFormat="false" ht="18" hidden="false" customHeight="true" outlineLevel="0" collapsed="false"/>
    <row r="76" customFormat="false" ht="18" hidden="false" customHeight="true" outlineLevel="0" collapsed="false"/>
    <row r="77" customFormat="false" ht="18" hidden="false" customHeight="true" outlineLevel="0" collapsed="false"/>
    <row r="78" customFormat="false" ht="18" hidden="false" customHeight="true" outlineLevel="0" collapsed="false"/>
    <row r="79" customFormat="false" ht="18" hidden="false" customHeight="true" outlineLevel="0" collapsed="false"/>
    <row r="80" customFormat="false" ht="18" hidden="false" customHeight="true" outlineLevel="0" collapsed="false"/>
    <row r="81" customFormat="false" ht="18" hidden="false" customHeight="true" outlineLevel="0" collapsed="false"/>
    <row r="82" customFormat="false" ht="18" hidden="false" customHeight="true" outlineLevel="0" collapsed="false"/>
    <row r="83" customFormat="false" ht="18" hidden="false" customHeight="true" outlineLevel="0" collapsed="false"/>
    <row r="84" customFormat="false" ht="18" hidden="false" customHeight="true" outlineLevel="0" collapsed="false"/>
    <row r="85" customFormat="false" ht="18" hidden="false" customHeight="true" outlineLevel="0" collapsed="false"/>
    <row r="86" customFormat="false" ht="18" hidden="false" customHeight="true" outlineLevel="0" collapsed="false"/>
    <row r="87" customFormat="false" ht="18" hidden="false" customHeight="true" outlineLevel="0" collapsed="false"/>
    <row r="88" customFormat="false" ht="18" hidden="false" customHeight="true" outlineLevel="0" collapsed="false"/>
    <row r="89" customFormat="false" ht="18" hidden="false" customHeight="true" outlineLevel="0" collapsed="false"/>
    <row r="90" customFormat="false" ht="18" hidden="false" customHeight="true" outlineLevel="0" collapsed="false"/>
    <row r="91" customFormat="false" ht="18" hidden="false" customHeight="true" outlineLevel="0" collapsed="false"/>
    <row r="92" customFormat="false" ht="18" hidden="false" customHeight="true" outlineLevel="0" collapsed="false"/>
    <row r="93" customFormat="false" ht="18" hidden="false" customHeight="true" outlineLevel="0" collapsed="false"/>
    <row r="94" customFormat="false" ht="18" hidden="false" customHeight="true" outlineLevel="0" collapsed="false"/>
    <row r="95" customFormat="false" ht="18" hidden="false" customHeight="true" outlineLevel="0" collapsed="false"/>
    <row r="96" customFormat="false" ht="18" hidden="false" customHeight="true" outlineLevel="0" collapsed="false"/>
    <row r="97" customFormat="false" ht="18" hidden="false" customHeight="true" outlineLevel="0" collapsed="false"/>
    <row r="98" customFormat="false" ht="18" hidden="false" customHeight="true" outlineLevel="0" collapsed="false"/>
    <row r="99" customFormat="false" ht="18" hidden="false" customHeight="true" outlineLevel="0" collapsed="false"/>
    <row r="100" customFormat="false" ht="18" hidden="false" customHeight="true" outlineLevel="0" collapsed="false"/>
    <row r="101" customFormat="false" ht="18" hidden="false" customHeight="true" outlineLevel="0" collapsed="false"/>
    <row r="102" customFormat="false" ht="18" hidden="false" customHeight="true" outlineLevel="0" collapsed="false"/>
    <row r="103" customFormat="false" ht="18" hidden="false" customHeight="true" outlineLevel="0" collapsed="false"/>
    <row r="104" customFormat="false" ht="18" hidden="false" customHeight="true" outlineLevel="0" collapsed="false"/>
    <row r="105" customFormat="false" ht="18" hidden="false" customHeight="true" outlineLevel="0" collapsed="false"/>
    <row r="106" customFormat="false" ht="18" hidden="false" customHeight="true" outlineLevel="0" collapsed="false"/>
    <row r="107" customFormat="false" ht="18" hidden="false" customHeight="true" outlineLevel="0" collapsed="false"/>
    <row r="108" customFormat="false" ht="18" hidden="false" customHeight="true" outlineLevel="0" collapsed="false"/>
    <row r="109" customFormat="false" ht="18" hidden="false" customHeight="true" outlineLevel="0" collapsed="false"/>
    <row r="110" customFormat="false" ht="18" hidden="false" customHeight="true" outlineLevel="0" collapsed="false"/>
    <row r="111" customFormat="false" ht="18" hidden="false" customHeight="true" outlineLevel="0" collapsed="false"/>
    <row r="112" customFormat="false" ht="18" hidden="false" customHeight="true" outlineLevel="0" collapsed="false"/>
    <row r="113" customFormat="false" ht="18" hidden="false" customHeight="true" outlineLevel="0" collapsed="false"/>
    <row r="114" customFormat="false" ht="18" hidden="false" customHeight="true" outlineLevel="0" collapsed="false"/>
    <row r="115" customFormat="false" ht="18" hidden="false" customHeight="true" outlineLevel="0" collapsed="false"/>
    <row r="116" customFormat="false" ht="18" hidden="false" customHeight="true" outlineLevel="0" collapsed="false"/>
    <row r="117" customFormat="false" ht="18" hidden="false" customHeight="true" outlineLevel="0" collapsed="false"/>
    <row r="118" customFormat="false" ht="18" hidden="false" customHeight="true" outlineLevel="0" collapsed="false"/>
    <row r="119" customFormat="false" ht="18" hidden="false" customHeight="true" outlineLevel="0" collapsed="false"/>
  </sheetData>
  <mergeCells count="26">
    <mergeCell ref="A1:H1"/>
    <mergeCell ref="A4:H4"/>
    <mergeCell ref="A5:H5"/>
    <mergeCell ref="A13:H13"/>
    <mergeCell ref="A14:H14"/>
    <mergeCell ref="A24:H24"/>
    <mergeCell ref="A25:H25"/>
    <mergeCell ref="F26:H26"/>
    <mergeCell ref="F27:H27"/>
    <mergeCell ref="F28:H28"/>
    <mergeCell ref="F29:H29"/>
    <mergeCell ref="F30:H30"/>
    <mergeCell ref="F31:H31"/>
    <mergeCell ref="A32:H32"/>
    <mergeCell ref="A34:H34"/>
    <mergeCell ref="A35:H35"/>
    <mergeCell ref="A43:H43"/>
    <mergeCell ref="A47:H47"/>
    <mergeCell ref="D48:H48"/>
    <mergeCell ref="D49:H49"/>
    <mergeCell ref="D50:H50"/>
    <mergeCell ref="D51:H51"/>
    <mergeCell ref="D52:H52"/>
    <mergeCell ref="D53:H53"/>
    <mergeCell ref="D54:H54"/>
    <mergeCell ref="D55:H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5" min="2" style="0" width="24"/>
  </cols>
  <sheetData>
    <row r="1" customFormat="false" ht="51.75" hidden="false" customHeight="true" outlineLevel="0" collapsed="false">
      <c r="A1" s="72" t="s">
        <v>138</v>
      </c>
      <c r="B1" s="72"/>
      <c r="C1" s="72"/>
      <c r="D1" s="72"/>
      <c r="E1" s="72"/>
    </row>
    <row r="2" customFormat="false" ht="7.5" hidden="false" customHeight="true" outlineLevel="0" collapsed="false">
      <c r="A2" s="6" t="s">
        <v>139</v>
      </c>
      <c r="B2" s="6"/>
      <c r="C2" s="6"/>
      <c r="D2" s="6"/>
      <c r="E2" s="6"/>
    </row>
    <row r="3" customFormat="false" ht="21.75" hidden="false" customHeight="true" outlineLevel="0" collapsed="false">
      <c r="A3" s="13" t="s">
        <v>140</v>
      </c>
      <c r="B3" s="41" t="s">
        <v>141</v>
      </c>
      <c r="C3" s="41"/>
      <c r="D3" s="41"/>
      <c r="E3" s="73" t="s">
        <v>142</v>
      </c>
    </row>
    <row r="4" customFormat="false" ht="21.75" hidden="false" customHeight="true" outlineLevel="0" collapsed="false">
      <c r="A4" s="8" t="s">
        <v>143</v>
      </c>
      <c r="B4" s="37" t="s">
        <v>144</v>
      </c>
      <c r="C4" s="37"/>
      <c r="D4" s="37"/>
      <c r="E4" s="73" t="s">
        <v>142</v>
      </c>
    </row>
    <row r="5" customFormat="false" ht="21.75" hidden="false" customHeight="true" outlineLevel="0" collapsed="false">
      <c r="A5" s="13" t="s">
        <v>145</v>
      </c>
      <c r="B5" s="41" t="s">
        <v>146</v>
      </c>
      <c r="C5" s="41"/>
      <c r="D5" s="41"/>
      <c r="E5" s="74" t="s">
        <v>147</v>
      </c>
    </row>
    <row r="6" customFormat="false" ht="21.75" hidden="false" customHeight="true" outlineLevel="0" collapsed="false">
      <c r="A6" s="8" t="s">
        <v>148</v>
      </c>
      <c r="B6" s="37" t="s">
        <v>149</v>
      </c>
      <c r="C6" s="37"/>
      <c r="D6" s="37"/>
      <c r="E6" s="74" t="s">
        <v>147</v>
      </c>
    </row>
    <row r="7" customFormat="false" ht="21.75" hidden="false" customHeight="true" outlineLevel="0" collapsed="false">
      <c r="A7" s="13" t="s">
        <v>150</v>
      </c>
      <c r="B7" s="41" t="s">
        <v>151</v>
      </c>
      <c r="C7" s="41"/>
      <c r="D7" s="41"/>
      <c r="E7" s="75" t="s">
        <v>152</v>
      </c>
    </row>
    <row r="8" customFormat="false" ht="19.5" hidden="false" customHeight="true" outlineLevel="0" collapsed="false"/>
    <row r="9" customFormat="false" ht="19.5" hidden="false" customHeight="true" outlineLevel="0" collapsed="false">
      <c r="A9" s="33" t="s">
        <v>153</v>
      </c>
      <c r="B9" s="33"/>
      <c r="C9" s="33"/>
      <c r="D9" s="33"/>
      <c r="E9" s="33"/>
    </row>
    <row r="10" customFormat="false" ht="19.5" hidden="false" customHeight="true" outlineLevel="0" collapsed="false">
      <c r="A10" s="7" t="s">
        <v>154</v>
      </c>
      <c r="B10" s="7"/>
      <c r="C10" s="7"/>
      <c r="D10" s="7"/>
      <c r="E10" s="7"/>
    </row>
    <row r="11" customFormat="false" ht="19.5" hidden="false" customHeight="true" outlineLevel="0" collapsed="false">
      <c r="A11" s="76" t="s">
        <v>155</v>
      </c>
      <c r="B11" s="77" t="s">
        <v>156</v>
      </c>
      <c r="C11" s="73" t="s">
        <v>157</v>
      </c>
      <c r="D11" s="75" t="s">
        <v>158</v>
      </c>
      <c r="E11" s="78" t="s">
        <v>159</v>
      </c>
    </row>
    <row r="12" customFormat="false" ht="120" hidden="false" customHeight="true" outlineLevel="0" collapsed="false">
      <c r="A12" s="79" t="s">
        <v>160</v>
      </c>
      <c r="B12" s="80" t="s">
        <v>161</v>
      </c>
      <c r="C12" s="81" t="s">
        <v>162</v>
      </c>
      <c r="D12" s="82" t="s">
        <v>163</v>
      </c>
      <c r="E12" s="83" t="s">
        <v>164</v>
      </c>
    </row>
    <row r="13" customFormat="false" ht="120" hidden="false" customHeight="true" outlineLevel="0" collapsed="false">
      <c r="A13" s="84" t="s">
        <v>165</v>
      </c>
      <c r="B13" s="80" t="s">
        <v>166</v>
      </c>
      <c r="C13" s="81" t="s">
        <v>167</v>
      </c>
      <c r="D13" s="82" t="s">
        <v>168</v>
      </c>
      <c r="E13" s="85" t="s">
        <v>169</v>
      </c>
    </row>
    <row r="14" customFormat="false" ht="120" hidden="false" customHeight="true" outlineLevel="0" collapsed="false">
      <c r="A14" s="86" t="s">
        <v>170</v>
      </c>
      <c r="B14" s="80" t="s">
        <v>171</v>
      </c>
      <c r="C14" s="81" t="s">
        <v>172</v>
      </c>
      <c r="D14" s="82" t="s">
        <v>173</v>
      </c>
      <c r="E14" s="87" t="s">
        <v>174</v>
      </c>
    </row>
    <row r="15" customFormat="false" ht="19.5" hidden="false" customHeight="true" outlineLevel="0" collapsed="false"/>
    <row r="16" customFormat="false" ht="19.5" hidden="false" customHeight="true" outlineLevel="0" collapsed="false">
      <c r="A16" s="45" t="s">
        <v>175</v>
      </c>
      <c r="B16" s="45"/>
      <c r="C16" s="45"/>
      <c r="D16" s="45"/>
      <c r="E16" s="45"/>
    </row>
    <row r="17" customFormat="false" ht="19.5" hidden="false" customHeight="true" outlineLevel="0" collapsed="false">
      <c r="A17" s="88" t="s">
        <v>176</v>
      </c>
      <c r="B17" s="89" t="s">
        <v>177</v>
      </c>
      <c r="C17" s="89"/>
      <c r="D17" s="89"/>
      <c r="E17" s="89"/>
    </row>
    <row r="18" customFormat="false" ht="19.5" hidden="false" customHeight="true" outlineLevel="0" collapsed="false">
      <c r="A18" s="90" t="s">
        <v>178</v>
      </c>
      <c r="B18" s="91" t="s">
        <v>179</v>
      </c>
      <c r="C18" s="91"/>
      <c r="D18" s="91"/>
      <c r="E18" s="91"/>
    </row>
    <row r="19" customFormat="false" ht="19.5" hidden="false" customHeight="true" outlineLevel="0" collapsed="false">
      <c r="A19" s="88" t="s">
        <v>180</v>
      </c>
      <c r="B19" s="89" t="s">
        <v>181</v>
      </c>
      <c r="C19" s="89"/>
      <c r="D19" s="89"/>
      <c r="E19" s="89"/>
    </row>
    <row r="20" customFormat="false" ht="19.5" hidden="false" customHeight="true" outlineLevel="0" collapsed="false">
      <c r="A20" s="90" t="s">
        <v>182</v>
      </c>
      <c r="B20" s="91" t="s">
        <v>183</v>
      </c>
      <c r="C20" s="91"/>
      <c r="D20" s="91"/>
      <c r="E20" s="91"/>
    </row>
    <row r="21" customFormat="false" ht="19.5" hidden="false" customHeight="true" outlineLevel="0" collapsed="false">
      <c r="A21" s="88" t="s">
        <v>184</v>
      </c>
      <c r="B21" s="89" t="s">
        <v>185</v>
      </c>
      <c r="C21" s="89"/>
      <c r="D21" s="89"/>
      <c r="E21" s="89"/>
    </row>
    <row r="22" customFormat="false" ht="19.5" hidden="false" customHeight="true" outlineLevel="0" collapsed="false">
      <c r="A22" s="90" t="s">
        <v>186</v>
      </c>
      <c r="B22" s="91" t="s">
        <v>187</v>
      </c>
      <c r="C22" s="91"/>
      <c r="D22" s="91"/>
      <c r="E22" s="91"/>
    </row>
    <row r="23" customFormat="false" ht="19.5" hidden="false" customHeight="true" outlineLevel="0" collapsed="false"/>
    <row r="24" customFormat="false" ht="19.5" hidden="false" customHeight="true" outlineLevel="0" collapsed="false">
      <c r="A24" s="20" t="s">
        <v>188</v>
      </c>
      <c r="B24" s="20"/>
      <c r="C24" s="20"/>
      <c r="D24" s="20"/>
      <c r="E24" s="20"/>
    </row>
    <row r="25" customFormat="false" ht="69.75" hidden="false" customHeight="true" outlineLevel="0" collapsed="false">
      <c r="A25" s="92" t="s">
        <v>189</v>
      </c>
      <c r="B25" s="93" t="s">
        <v>190</v>
      </c>
      <c r="C25" s="94" t="s">
        <v>191</v>
      </c>
      <c r="D25" s="94"/>
      <c r="E25" s="94"/>
    </row>
    <row r="26" customFormat="false" ht="69.75" hidden="false" customHeight="true" outlineLevel="0" collapsed="false">
      <c r="A26" s="95" t="s">
        <v>192</v>
      </c>
      <c r="B26" s="96" t="s">
        <v>193</v>
      </c>
      <c r="C26" s="94" t="s">
        <v>194</v>
      </c>
      <c r="D26" s="94"/>
      <c r="E26" s="94"/>
    </row>
    <row r="27" customFormat="false" ht="69.75" hidden="false" customHeight="true" outlineLevel="0" collapsed="false">
      <c r="A27" s="97" t="s">
        <v>195</v>
      </c>
      <c r="B27" s="98" t="s">
        <v>196</v>
      </c>
      <c r="C27" s="94" t="s">
        <v>197</v>
      </c>
      <c r="D27" s="94"/>
      <c r="E27" s="94"/>
    </row>
    <row r="28" customFormat="false" ht="69.75" hidden="false" customHeight="true" outlineLevel="0" collapsed="false">
      <c r="A28" s="99" t="s">
        <v>198</v>
      </c>
      <c r="B28" s="100" t="s">
        <v>199</v>
      </c>
      <c r="C28" s="94" t="s">
        <v>200</v>
      </c>
      <c r="D28" s="94"/>
      <c r="E28" s="94"/>
    </row>
    <row r="29" customFormat="false" ht="69.75" hidden="false" customHeight="true" outlineLevel="0" collapsed="false">
      <c r="A29" s="101" t="s">
        <v>201</v>
      </c>
      <c r="B29" s="102" t="s">
        <v>202</v>
      </c>
      <c r="C29" s="94" t="s">
        <v>203</v>
      </c>
      <c r="D29" s="94"/>
      <c r="E29" s="94"/>
    </row>
    <row r="30" customFormat="false" ht="69.75" hidden="false" customHeight="true" outlineLevel="0" collapsed="false">
      <c r="A30" s="103" t="s">
        <v>204</v>
      </c>
      <c r="B30" s="104" t="s">
        <v>205</v>
      </c>
      <c r="C30" s="94" t="s">
        <v>206</v>
      </c>
      <c r="D30" s="94"/>
      <c r="E30" s="94"/>
    </row>
    <row r="31" customFormat="false" ht="19.5" hidden="false" customHeight="true" outlineLevel="0" collapsed="false"/>
    <row r="32" customFormat="false" ht="19.5" hidden="false" customHeight="true" outlineLevel="0" collapsed="false">
      <c r="A32" s="60" t="s">
        <v>207</v>
      </c>
      <c r="B32" s="60"/>
      <c r="C32" s="60"/>
      <c r="D32" s="60"/>
      <c r="E32" s="60"/>
    </row>
    <row r="33" customFormat="false" ht="19.5" hidden="false" customHeight="true" outlineLevel="0" collapsed="false">
      <c r="A33" s="7" t="s">
        <v>208</v>
      </c>
      <c r="B33" s="7"/>
      <c r="C33" s="7"/>
      <c r="D33" s="7"/>
      <c r="E33" s="7"/>
    </row>
    <row r="34" customFormat="false" ht="39.75" hidden="false" customHeight="true" outlineLevel="0" collapsed="false">
      <c r="A34" s="105" t="s">
        <v>209</v>
      </c>
      <c r="B34" s="106" t="s">
        <v>210</v>
      </c>
      <c r="C34" s="106" t="s">
        <v>211</v>
      </c>
      <c r="D34" s="106" t="s">
        <v>8</v>
      </c>
    </row>
    <row r="35" customFormat="false" ht="39.75" hidden="false" customHeight="true" outlineLevel="0" collapsed="false">
      <c r="A35" s="80" t="s">
        <v>212</v>
      </c>
      <c r="B35" s="107" t="s">
        <v>213</v>
      </c>
      <c r="C35" s="107" t="s">
        <v>214</v>
      </c>
      <c r="D35" s="107" t="s">
        <v>215</v>
      </c>
    </row>
    <row r="36" customFormat="false" ht="39.75" hidden="false" customHeight="true" outlineLevel="0" collapsed="false">
      <c r="A36" s="108" t="s">
        <v>216</v>
      </c>
      <c r="B36" s="109" t="s">
        <v>217</v>
      </c>
      <c r="C36" s="109" t="s">
        <v>217</v>
      </c>
      <c r="D36" s="109" t="s">
        <v>218</v>
      </c>
    </row>
    <row r="37" customFormat="false" ht="39.75" hidden="false" customHeight="true" outlineLevel="0" collapsed="false">
      <c r="A37" s="80" t="s">
        <v>219</v>
      </c>
      <c r="B37" s="107" t="s">
        <v>220</v>
      </c>
      <c r="C37" s="107" t="s">
        <v>221</v>
      </c>
      <c r="D37" s="107" t="s">
        <v>222</v>
      </c>
    </row>
    <row r="38" customFormat="false" ht="39.75" hidden="false" customHeight="true" outlineLevel="0" collapsed="false">
      <c r="A38" s="87" t="s">
        <v>223</v>
      </c>
      <c r="B38" s="110" t="s">
        <v>224</v>
      </c>
      <c r="C38" s="110" t="s">
        <v>225</v>
      </c>
      <c r="D38" s="110" t="s">
        <v>226</v>
      </c>
    </row>
    <row r="39" customFormat="false" ht="39.75" hidden="false" customHeight="true" outlineLevel="0" collapsed="false">
      <c r="A39" s="87" t="s">
        <v>227</v>
      </c>
      <c r="B39" s="110" t="s">
        <v>228</v>
      </c>
      <c r="C39" s="110" t="s">
        <v>229</v>
      </c>
      <c r="D39" s="110" t="s">
        <v>230</v>
      </c>
    </row>
    <row r="40" customFormat="false" ht="39.75" hidden="false" customHeight="true" outlineLevel="0" collapsed="false">
      <c r="A40" s="111" t="s">
        <v>231</v>
      </c>
      <c r="B40" s="112" t="s">
        <v>232</v>
      </c>
      <c r="C40" s="112" t="s">
        <v>233</v>
      </c>
      <c r="D40" s="112" t="s">
        <v>234</v>
      </c>
    </row>
    <row r="41" customFormat="false" ht="19.5" hidden="false" customHeight="true" outlineLevel="0" collapsed="false"/>
    <row r="42" customFormat="false" ht="19.5" hidden="false" customHeight="true" outlineLevel="0" collapsed="false">
      <c r="A42" s="6" t="s">
        <v>235</v>
      </c>
      <c r="B42" s="6"/>
      <c r="C42" s="6"/>
      <c r="D42" s="6"/>
      <c r="E42" s="6"/>
    </row>
    <row r="43" customFormat="false" ht="19.5" hidden="false" customHeight="true" outlineLevel="0" collapsed="false">
      <c r="A43" s="7" t="s">
        <v>236</v>
      </c>
      <c r="B43" s="7"/>
      <c r="C43" s="7"/>
      <c r="D43" s="7"/>
      <c r="E43" s="7"/>
    </row>
    <row r="44" customFormat="false" ht="21.75" hidden="false" customHeight="true" outlineLevel="0" collapsed="false">
      <c r="A44" s="113" t="s">
        <v>237</v>
      </c>
      <c r="B44" s="113" t="s">
        <v>238</v>
      </c>
      <c r="C44" s="114" t="s">
        <v>239</v>
      </c>
      <c r="D44" s="114"/>
      <c r="E44" s="114"/>
    </row>
    <row r="45" customFormat="false" ht="21.75" hidden="false" customHeight="true" outlineLevel="0" collapsed="false">
      <c r="A45" s="113" t="s">
        <v>237</v>
      </c>
      <c r="B45" s="113" t="s">
        <v>238</v>
      </c>
      <c r="C45" s="114" t="s">
        <v>240</v>
      </c>
      <c r="D45" s="114"/>
      <c r="E45" s="114"/>
    </row>
    <row r="46" customFormat="false" ht="21.75" hidden="false" customHeight="true" outlineLevel="0" collapsed="false">
      <c r="A46" s="113" t="s">
        <v>241</v>
      </c>
      <c r="B46" s="113" t="s">
        <v>242</v>
      </c>
      <c r="C46" s="114" t="s">
        <v>243</v>
      </c>
      <c r="D46" s="114"/>
      <c r="E46" s="114"/>
    </row>
    <row r="47" customFormat="false" ht="21.75" hidden="false" customHeight="true" outlineLevel="0" collapsed="false">
      <c r="A47" s="113" t="s">
        <v>241</v>
      </c>
      <c r="B47" s="113" t="s">
        <v>242</v>
      </c>
      <c r="C47" s="114" t="s">
        <v>244</v>
      </c>
      <c r="D47" s="114"/>
      <c r="E47" s="114"/>
    </row>
    <row r="48" customFormat="false" ht="21.75" hidden="false" customHeight="true" outlineLevel="0" collapsed="false">
      <c r="A48" s="113" t="s">
        <v>241</v>
      </c>
      <c r="B48" s="113" t="s">
        <v>242</v>
      </c>
      <c r="C48" s="114" t="s">
        <v>245</v>
      </c>
      <c r="D48" s="114"/>
      <c r="E48" s="114"/>
    </row>
    <row r="49" customFormat="false" ht="21.75" hidden="false" customHeight="true" outlineLevel="0" collapsed="false">
      <c r="A49" s="113" t="s">
        <v>241</v>
      </c>
      <c r="B49" s="113" t="s">
        <v>246</v>
      </c>
      <c r="C49" s="114" t="s">
        <v>247</v>
      </c>
      <c r="D49" s="114"/>
      <c r="E49" s="114"/>
    </row>
    <row r="50" customFormat="false" ht="21.75" hidden="false" customHeight="true" outlineLevel="0" collapsed="false">
      <c r="A50" s="113" t="s">
        <v>241</v>
      </c>
      <c r="B50" s="113" t="s">
        <v>246</v>
      </c>
      <c r="C50" s="114" t="s">
        <v>248</v>
      </c>
      <c r="D50" s="114"/>
      <c r="E50" s="114"/>
    </row>
    <row r="51" customFormat="false" ht="21.75" hidden="false" customHeight="true" outlineLevel="0" collapsed="false">
      <c r="A51" s="113" t="s">
        <v>249</v>
      </c>
      <c r="B51" s="113" t="s">
        <v>250</v>
      </c>
      <c r="C51" s="114" t="s">
        <v>251</v>
      </c>
      <c r="D51" s="114"/>
      <c r="E51" s="114"/>
    </row>
    <row r="52" customFormat="false" ht="21.75" hidden="false" customHeight="true" outlineLevel="0" collapsed="false">
      <c r="A52" s="113" t="s">
        <v>249</v>
      </c>
      <c r="B52" s="113" t="s">
        <v>250</v>
      </c>
      <c r="C52" s="114" t="s">
        <v>252</v>
      </c>
      <c r="D52" s="114"/>
      <c r="E52" s="114"/>
    </row>
    <row r="53" customFormat="false" ht="21.75" hidden="false" customHeight="true" outlineLevel="0" collapsed="false">
      <c r="A53" s="113" t="s">
        <v>249</v>
      </c>
      <c r="B53" s="113" t="s">
        <v>253</v>
      </c>
      <c r="C53" s="114" t="s">
        <v>254</v>
      </c>
      <c r="D53" s="114"/>
      <c r="E53" s="114"/>
    </row>
    <row r="54" customFormat="false" ht="21.75" hidden="false" customHeight="true" outlineLevel="0" collapsed="false">
      <c r="A54" s="113" t="s">
        <v>249</v>
      </c>
      <c r="B54" s="113" t="s">
        <v>255</v>
      </c>
      <c r="C54" s="114" t="s">
        <v>256</v>
      </c>
      <c r="D54" s="114"/>
      <c r="E54" s="114"/>
    </row>
    <row r="55" customFormat="false" ht="19.5" hidden="false" customHeight="true" outlineLevel="0" collapsed="false"/>
    <row r="56" customFormat="false" ht="19.5" hidden="false" customHeight="true" outlineLevel="0" collapsed="false"/>
    <row r="57" customFormat="false" ht="19.5" hidden="false" customHeight="true" outlineLevel="0" collapsed="false"/>
    <row r="58" customFormat="false" ht="19.5" hidden="false" customHeight="true" outlineLevel="0" collapsed="false"/>
    <row r="59" customFormat="false" ht="19.5" hidden="false" customHeight="true" outlineLevel="0" collapsed="false"/>
    <row r="60" customFormat="false" ht="19.5" hidden="false" customHeight="true" outlineLevel="0" collapsed="false"/>
    <row r="61" customFormat="false" ht="19.5" hidden="false" customHeight="true" outlineLevel="0" collapsed="false"/>
    <row r="62" customFormat="false" ht="19.5" hidden="false" customHeight="true" outlineLevel="0" collapsed="false"/>
    <row r="63" customFormat="false" ht="19.5" hidden="false" customHeight="true" outlineLevel="0" collapsed="false"/>
    <row r="64" customFormat="false" ht="19.5" hidden="false" customHeight="true" outlineLevel="0" collapsed="false"/>
    <row r="65" customFormat="false" ht="19.5" hidden="false" customHeight="true" outlineLevel="0" collapsed="false"/>
    <row r="66" customFormat="false" ht="19.5" hidden="false" customHeight="true" outlineLevel="0" collapsed="false"/>
    <row r="67" customFormat="false" ht="19.5" hidden="false" customHeight="true" outlineLevel="0" collapsed="false"/>
    <row r="68" customFormat="false" ht="19.5" hidden="false" customHeight="true" outlineLevel="0" collapsed="false"/>
    <row r="69" customFormat="false" ht="19.5" hidden="false" customHeight="true" outlineLevel="0" collapsed="false"/>
    <row r="70" customFormat="false" ht="19.5" hidden="false" customHeight="true" outlineLevel="0" collapsed="false"/>
    <row r="71" customFormat="false" ht="19.5" hidden="false" customHeight="true" outlineLevel="0" collapsed="false"/>
    <row r="72" customFormat="false" ht="19.5" hidden="false" customHeight="true" outlineLevel="0" collapsed="false"/>
    <row r="73" customFormat="false" ht="19.5" hidden="false" customHeight="true" outlineLevel="0" collapsed="false"/>
    <row r="74" customFormat="false" ht="19.5" hidden="false" customHeight="true" outlineLevel="0" collapsed="false"/>
    <row r="75" customFormat="false" ht="19.5" hidden="false" customHeight="true" outlineLevel="0" collapsed="false"/>
    <row r="76" customFormat="false" ht="19.5" hidden="false" customHeight="true" outlineLevel="0" collapsed="false"/>
    <row r="77" customFormat="false" ht="19.5" hidden="false" customHeight="true" outlineLevel="0" collapsed="false"/>
    <row r="78" customFormat="false" ht="19.5" hidden="false" customHeight="true" outlineLevel="0" collapsed="false"/>
    <row r="79" customFormat="false" ht="19.5" hidden="false" customHeight="true" outlineLevel="0" collapsed="false"/>
    <row r="80" customFormat="false" ht="19.5" hidden="false" customHeight="true" outlineLevel="0" collapsed="false"/>
    <row r="81" customFormat="false" ht="19.5" hidden="false" customHeight="true" outlineLevel="0" collapsed="false"/>
    <row r="82" customFormat="false" ht="19.5" hidden="false" customHeight="true" outlineLevel="0" collapsed="false"/>
    <row r="83" customFormat="false" ht="19.5" hidden="false" customHeight="true" outlineLevel="0" collapsed="false"/>
    <row r="84" customFormat="false" ht="19.5" hidden="false" customHeight="true" outlineLevel="0" collapsed="false"/>
    <row r="85" customFormat="false" ht="19.5" hidden="false" customHeight="true" outlineLevel="0" collapsed="false"/>
    <row r="86" customFormat="false" ht="19.5" hidden="false" customHeight="true" outlineLevel="0" collapsed="false"/>
    <row r="87" customFormat="false" ht="19.5" hidden="false" customHeight="true" outlineLevel="0" collapsed="false"/>
    <row r="88" customFormat="false" ht="19.5" hidden="false" customHeight="true" outlineLevel="0" collapsed="false"/>
    <row r="89" customFormat="false" ht="19.5" hidden="false" customHeight="true" outlineLevel="0" collapsed="false"/>
    <row r="90" customFormat="false" ht="19.5" hidden="false" customHeight="true" outlineLevel="0" collapsed="false"/>
    <row r="91" customFormat="false" ht="19.5" hidden="false" customHeight="true" outlineLevel="0" collapsed="false"/>
    <row r="92" customFormat="false" ht="19.5" hidden="false" customHeight="true" outlineLevel="0" collapsed="false"/>
    <row r="93" customFormat="false" ht="19.5" hidden="false" customHeight="true" outlineLevel="0" collapsed="false"/>
    <row r="94" customFormat="false" ht="19.5" hidden="false" customHeight="true" outlineLevel="0" collapsed="false"/>
    <row r="95" customFormat="false" ht="19.5" hidden="false" customHeight="true" outlineLevel="0" collapsed="false"/>
    <row r="96" customFormat="false" ht="19.5" hidden="false" customHeight="true" outlineLevel="0" collapsed="false"/>
    <row r="97" customFormat="false" ht="19.5" hidden="false" customHeight="true" outlineLevel="0" collapsed="false"/>
    <row r="98" customFormat="false" ht="19.5" hidden="false" customHeight="true" outlineLevel="0" collapsed="false"/>
    <row r="99" customFormat="false" ht="19.5" hidden="false" customHeight="true" outlineLevel="0" collapsed="false"/>
    <row r="100" customFormat="false" ht="19.5" hidden="false" customHeight="true" outlineLevel="0" collapsed="false"/>
    <row r="101" customFormat="false" ht="19.5" hidden="false" customHeight="true" outlineLevel="0" collapsed="false"/>
    <row r="102" customFormat="false" ht="19.5" hidden="false" customHeight="true" outlineLevel="0" collapsed="false"/>
    <row r="103" customFormat="false" ht="19.5" hidden="false" customHeight="true" outlineLevel="0" collapsed="false"/>
    <row r="104" customFormat="false" ht="19.5" hidden="false" customHeight="true" outlineLevel="0" collapsed="false"/>
    <row r="105" customFormat="false" ht="19.5" hidden="false" customHeight="true" outlineLevel="0" collapsed="false"/>
    <row r="106" customFormat="false" ht="19.5" hidden="false" customHeight="true" outlineLevel="0" collapsed="false"/>
    <row r="107" customFormat="false" ht="19.5" hidden="false" customHeight="true" outlineLevel="0" collapsed="false"/>
    <row r="108" customFormat="false" ht="19.5" hidden="false" customHeight="true" outlineLevel="0" collapsed="false"/>
    <row r="109" customFormat="false" ht="19.5" hidden="false" customHeight="true" outlineLevel="0" collapsed="false"/>
    <row r="110" customFormat="false" ht="19.5" hidden="false" customHeight="true" outlineLevel="0" collapsed="false"/>
    <row r="111" customFormat="false" ht="19.5" hidden="false" customHeight="true" outlineLevel="0" collapsed="false"/>
    <row r="112" customFormat="false" ht="19.5" hidden="false" customHeight="true" outlineLevel="0" collapsed="false"/>
    <row r="113" customFormat="false" ht="19.5" hidden="false" customHeight="true" outlineLevel="0" collapsed="false"/>
    <row r="114" customFormat="false" ht="19.5" hidden="false" customHeight="true" outlineLevel="0" collapsed="false"/>
    <row r="115" customFormat="false" ht="19.5" hidden="false" customHeight="true" outlineLevel="0" collapsed="false"/>
    <row r="116" customFormat="false" ht="19.5" hidden="false" customHeight="true" outlineLevel="0" collapsed="false"/>
    <row r="117" customFormat="false" ht="19.5" hidden="false" customHeight="true" outlineLevel="0" collapsed="false"/>
    <row r="118" customFormat="false" ht="19.5" hidden="false" customHeight="true" outlineLevel="0" collapsed="false"/>
    <row r="119" customFormat="false" ht="19.5" hidden="false" customHeight="true" outlineLevel="0" collapsed="false"/>
  </sheetData>
  <mergeCells count="38">
    <mergeCell ref="A1:E1"/>
    <mergeCell ref="A2:E2"/>
    <mergeCell ref="B3:D3"/>
    <mergeCell ref="B4:D4"/>
    <mergeCell ref="B5:D5"/>
    <mergeCell ref="B6:D6"/>
    <mergeCell ref="B7:D7"/>
    <mergeCell ref="A9:E9"/>
    <mergeCell ref="A10:E10"/>
    <mergeCell ref="A16:E16"/>
    <mergeCell ref="B17:E17"/>
    <mergeCell ref="B18:E18"/>
    <mergeCell ref="B19:E19"/>
    <mergeCell ref="B20:E20"/>
    <mergeCell ref="B21:E21"/>
    <mergeCell ref="B22:E22"/>
    <mergeCell ref="A24:E24"/>
    <mergeCell ref="C25:E25"/>
    <mergeCell ref="C26:E26"/>
    <mergeCell ref="C27:E27"/>
    <mergeCell ref="C28:E28"/>
    <mergeCell ref="C29:E29"/>
    <mergeCell ref="C30:E30"/>
    <mergeCell ref="A32:E32"/>
    <mergeCell ref="A33:E33"/>
    <mergeCell ref="A42:E42"/>
    <mergeCell ref="A43:E43"/>
    <mergeCell ref="C44:E44"/>
    <mergeCell ref="C45:E45"/>
    <mergeCell ref="C46:E46"/>
    <mergeCell ref="C47:E47"/>
    <mergeCell ref="C48:E48"/>
    <mergeCell ref="C49:E49"/>
    <mergeCell ref="C50:E50"/>
    <mergeCell ref="C51:E51"/>
    <mergeCell ref="C52:E52"/>
    <mergeCell ref="C53:E53"/>
    <mergeCell ref="C54:E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2026-05-05T00:44:58Z</dcterms:created>
  <dc:creator>openpyxl</dc:creator>
  <dc:description/>
  <dc:language>en-US</dc:language>
  <cp:lastModifiedBy/>
  <dcterms:modified xsi:type="dcterms:W3CDTF">2026-05-05T00:44:58Z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