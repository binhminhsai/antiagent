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54F9FEEC-EE54-4171-86AE-14E9F77E5DF1}" xr6:coauthVersionLast="47" xr6:coauthVersionMax="47" xr10:uidLastSave="{00000000-0000-0000-0000-000000000000}"/>
  <bookViews>
    <workbookView xWindow="-98" yWindow="-98" windowWidth="22335" windowHeight="11821" xr2:uid="{00000000-000D-0000-FFFF-FFFF00000000}"/>
  </bookViews>
  <sheets>
    <sheet name="Dashboard" sheetId="2" r:id="rId1"/>
    <sheet name="Data_Backend" sheetId="1" r:id="rId2"/>
    <sheet name="Raw data_1" sheetId="3" r:id="rId3"/>
    <sheet name="Raw data_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C26" i="1"/>
  <c r="C27" i="1"/>
  <c r="C28" i="1"/>
  <c r="C29" i="1"/>
  <c r="B27" i="1"/>
  <c r="B26" i="1"/>
  <c r="B21" i="1"/>
  <c r="B20" i="1"/>
  <c r="B19" i="1"/>
  <c r="C19" i="1" s="1"/>
  <c r="B18" i="1"/>
  <c r="B4" i="1"/>
  <c r="B5" i="1" s="1"/>
  <c r="B3" i="1"/>
  <c r="B13" i="1"/>
  <c r="C13" i="1" s="1"/>
  <c r="B12" i="1"/>
  <c r="C12" i="1" s="1"/>
  <c r="C4" i="1"/>
  <c r="C3" i="1"/>
  <c r="B10" i="1"/>
  <c r="B11" i="1"/>
  <c r="T61" i="4"/>
  <c r="C21" i="1" l="1"/>
  <c r="C5" i="1"/>
  <c r="C20" i="1"/>
</calcChain>
</file>

<file path=xl/sharedStrings.xml><?xml version="1.0" encoding="utf-8"?>
<sst xmlns="http://schemas.openxmlformats.org/spreadsheetml/2006/main" count="193" uniqueCount="168">
  <si>
    <t>1. TÌNH HÌNH ACQUISITION &amp; SIGNUP</t>
  </si>
  <si>
    <t>Chỉ số</t>
  </si>
  <si>
    <t>Toàn thời gian (Đến 25/04)</t>
  </si>
  <si>
    <t>Quý 1/2026 (Đến 31/03)</t>
  </si>
  <si>
    <t>Tổng Traffic (New Users)</t>
  </si>
  <si>
    <t>Tổng Sign-ups (Đăng ký)</t>
  </si>
  <si>
    <t>Tỷ lệ Chuyển đổi (CR)</t>
  </si>
  <si>
    <t>2. TĂNG TRƯỞNG ACTIVE USER (3 THÁNG GẦN NHẤT)</t>
  </si>
  <si>
    <t>Tháng</t>
  </si>
  <si>
    <t>Tăng trưởng MoM (%)</t>
  </si>
  <si>
    <t>02/2026</t>
  </si>
  <si>
    <t>N/A</t>
  </si>
  <si>
    <t>03/2026</t>
  </si>
  <si>
    <t>04/2026</t>
  </si>
  <si>
    <t>3. SỐ LƯỢNG WAU &amp; TĂNG TRƯỞNG D7</t>
  </si>
  <si>
    <t>Thời gian (4 tuần gần nhất)</t>
  </si>
  <si>
    <t>Lượng Active 7 ngày (WAU)</t>
  </si>
  <si>
    <t>Tăng trưởng D7 (WoW %)</t>
  </si>
  <si>
    <t>Tuần 1 (29/03-04/04)</t>
  </si>
  <si>
    <t>Tuần 2 (05/04-11/04)</t>
  </si>
  <si>
    <t>Tuần 3 (12/04-18/04)</t>
  </si>
  <si>
    <t>Tuần 4 (19/04-25/04)</t>
  </si>
  <si>
    <t>4. TĂNG TRƯỞNG D30 (MAU)</t>
  </si>
  <si>
    <t>Lượng Active 30 ngày (MAU)</t>
  </si>
  <si>
    <t>Tăng trưởng D30 (MoM %)</t>
  </si>
  <si>
    <t>Metric</t>
  </si>
  <si>
    <t>Count</t>
  </si>
  <si>
    <t>Period Start</t>
  </si>
  <si>
    <t>Period End</t>
  </si>
  <si>
    <t>New Users (Anon)</t>
  </si>
  <si>
    <t>Active Users</t>
  </si>
  <si>
    <t>Signups</t>
  </si>
  <si>
    <t>Qualified Trials</t>
  </si>
  <si>
    <t>Started Trials</t>
  </si>
  <si>
    <t>Completed Trials</t>
  </si>
  <si>
    <t>Paid Users</t>
  </si>
  <si>
    <t>2nd Time Paid</t>
  </si>
  <si>
    <t>12/31/2025</t>
  </si>
  <si>
    <t>04/25/2026</t>
  </si>
  <si>
    <t>Date</t>
  </si>
  <si>
    <t>Active Users (60s+)</t>
  </si>
  <si>
    <t>Daily Active Users (DAU)</t>
  </si>
  <si>
    <t>Daily Practice Users (DPU)</t>
  </si>
  <si>
    <t>Referral Codes Generated</t>
  </si>
  <si>
    <t>Referral Codes Redeemed</t>
  </si>
  <si>
    <t>Active -&gt; Signup %</t>
  </si>
  <si>
    <t>Signup -&gt; Qualified %</t>
  </si>
  <si>
    <t>Qualified -&gt; Started %</t>
  </si>
  <si>
    <t>Started -&gt; Completed %</t>
  </si>
  <si>
    <t>Completed -&gt; Paid %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</si>
  <si>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</si>
  <si>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</si>
  <si>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</si>
  <si>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</si>
  <si>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</si>
  <si>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</si>
  <si>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</si>
  <si>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</si>
  <si>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</si>
  <si>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</si>
  <si>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</si>
  <si>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</si>
  <si>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</si>
  <si>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</si>
  <si>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</si>
  <si>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</si>
  <si>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</si>
  <si>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</si>
  <si>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</si>
  <si>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</si>
  <si>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</si>
  <si>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</si>
  <si>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</si>
  <si>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</si>
  <si>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</si>
  <si>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</si>
  <si>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</si>
  <si>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</si>
  <si>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</si>
  <si>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</si>
  <si>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</si>
  <si>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</si>
  <si>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</si>
  <si>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</si>
  <si>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</si>
  <si>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</si>
  <si>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</si>
  <si>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</si>
  <si>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</si>
  <si>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</si>
  <si>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</si>
  <si>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</si>
  <si>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</si>
  <si>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</si>
  <si>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</si>
  <si>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</si>
  <si>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</si>
  <si>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</si>
  <si>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</si>
  <si>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</si>
  <si>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</si>
  <si>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</si>
  <si>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</si>
  <si>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</si>
  <si>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</si>
  <si>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</si>
  <si>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</si>
  <si>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</si>
  <si>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</si>
  <si>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</si>
  <si>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</si>
  <si>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</si>
  <si>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</si>
  <si>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</si>
  <si>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</si>
  <si>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</si>
  <si>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</si>
  <si>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</si>
  <si>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</si>
  <si>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</si>
  <si>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</si>
  <si>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</si>
  <si>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</si>
  <si>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</si>
  <si>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</si>
  <si>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</si>
  <si>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</si>
  <si>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</si>
  <si>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</si>
  <si>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</si>
  <si>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</si>
  <si>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</si>
  <si>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</si>
  <si>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</si>
  <si>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</si>
  <si>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</si>
  <si>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</si>
  <si>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</si>
  <si>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</si>
  <si>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</si>
  <si>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</si>
  <si>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</si>
  <si>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</si>
  <si>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</si>
  <si>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</si>
  <si>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</si>
  <si>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</si>
  <si>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</si>
  <si>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</si>
  <si>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</si>
  <si>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</si>
  <si>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</si>
  <si>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</si>
  <si>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</si>
  <si>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</si>
  <si>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</si>
  <si>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</si>
  <si>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</si>
  <si>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</si>
  <si>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</si>
  <si>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</si>
  <si>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</si>
  <si>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</si>
  <si>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</si>
  <si>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</si>
  <si>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</si>
  <si>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</si>
  <si>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03/31/2026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</si>
</sst>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&quot;%&quot;"/>
    <numFmt numFmtId="172" formatCode="mm/yyyy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10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5" fillId="3" borderId="2" xfId="0" applyFont="1" applyFill="1" applyBorder="1" applyAlignment="1">
      <alignment horizontal="center"/>
    </xf>
    <xf numFmtId="0" fontId="2" fillId="0" borderId="2" xfId="0" applyFont="1" applyBorder="1"/>
    <xf numFmtId="168" fontId="2" fillId="0" borderId="2" xfId="0" applyNumberFormat="1" applyFont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4" fillId="0" borderId="1" xfId="0" applyFont="1" applyFill="1" applyBorder="1"/>
    <xf numFmtId="0" fontId="4" fillId="0" borderId="1" xfId="0" applyFont="1" applyFill="1" applyBorder="1" applyAlignment="1"/>
    <xf numFmtId="172" fontId="4" fillId="0" borderId="1" xfId="0" applyNumberFormat="1" applyFont="1" applyBorder="1" applyAlignment="1">
      <alignment horizontal="left"/>
    </xf>
    <xf numFmtId="0" fontId="2" fillId="0" borderId="2" xfId="0" applyFont="1" applyFill="1" applyBorder="1"/>
    <xf numFmtId="168" fontId="2" fillId="0" borderId="2" xfId="0" applyNumberFormat="1" applyFont="1" applyFill="1" applyBorder="1"/>
    <xf numFmtId="0" fontId="0" fillId="0" borderId="0" xfId="0" applyFill="1"/>
    <xf numFmtId="0" fontId="7" fillId="3" borderId="2" xfId="0" applyFont="1" applyFill="1" applyBorder="1" applyAlignment="1">
      <alignment horizontal="center"/>
    </xf>
    <xf numFmtId="0" fontId="8" fillId="0" borderId="2" xfId="0" applyFont="1" applyBorder="1"/>
    <xf numFmtId="0" fontId="8" fillId="0" borderId="2" xfId="0" applyFont="1" applyFill="1" applyBorder="1"/>
    <xf numFmtId="0" fontId="1" fillId="0" borderId="0" xfId="0" applyFont="1"/>
    <xf numFmtId="10" fontId="4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Tình hình Acquisition &amp; Sign-up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Data_Backend!$A$3</c:f>
              <c:strCache>
                <c:ptCount val="1"/>
                <c:pt idx="0">
                  <c:v>Tổng Traffic (New Users)</c:v>
                </c:pt>
              </c:strCache>
            </c:strRef>
          </c:tx>
          <c:spPr>
            <a:solidFill>
              <a:srgbClr val="4F81BD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Data_Backend!$B$2:$C$2</c:f>
              <c:strCache>
                <c:ptCount val="2"/>
                <c:pt idx="0">
                  <c:v>Toàn thời gian (Đến 25/04)</c:v>
                </c:pt>
                <c:pt idx="1">
                  <c:v>Quý 1/2026 (Đến 31/03)</c:v>
                </c:pt>
              </c:strCache>
            </c:strRef>
          </c:cat>
          <c:val>
            <c:numRef>
              <c:f>Data_Backend!$B$3:$C$3</c:f>
              <c:numCache>
                <c:formatCode>General</c:formatCode>
                <c:ptCount val="2"/>
                <c:pt idx="0">
                  <c:v>12328</c:v>
                </c:pt>
                <c:pt idx="1">
                  <c:v>8312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D-4034-A508-F855C2FF530B}"/>
            </c:ext>
          </c:extLst>
        </c:ser>
        <c:ser>
          <c:idx val="1"/>
          <c:order val="1"/>
          <c:tx>
            <c:strRef>
              <c:f>Data_Backend!$A$4</c:f>
              <c:strCache>
                <c:ptCount val="1"/>
                <c:pt idx="0">
                  <c:v>Tổng Sign-ups (Đăng ký)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Data_Backend!$B$2:$C$2</c:f>
              <c:strCache>
                <c:ptCount val="2"/>
                <c:pt idx="0">
                  <c:v>Toàn thời gian (Đến 25/04)</c:v>
                </c:pt>
                <c:pt idx="1">
                  <c:v>Quý 1/2026 (Đến 31/03)</c:v>
                </c:pt>
              </c:strCache>
            </c:strRef>
          </c:cat>
          <c:val>
            <c:numRef>
              <c:f>Data_Backend!$B$4:$C$4</c:f>
              <c:numCache>
                <c:formatCode>General</c:formatCode>
                <c:ptCount val="2"/>
                <c:pt idx="0">
                  <c:v>1523</c:v>
                </c:pt>
                <c:pt idx="1">
                  <c:v>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D-4034-A508-F855C2FF5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Tăng trưởng Active User (3 tháng gần nhất)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Active Users (Làm bài/Chấm điểm)</c:v>
          </c:tx>
          <c:spPr>
            <a:ln w="31750">
              <a:solidFill>
                <a:srgbClr val="FFC000"/>
              </a:solidFill>
            </a:ln>
          </c:spPr>
          <c:marker>
            <c:symbol val="circle"/>
            <c:size val="7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Data_Backend!$A$11:$A$13</c:f>
              <c:strCache>
                <c:ptCount val="3"/>
                <c:pt idx="0">
                  <c:v>02/2026</c:v>
                </c:pt>
                <c:pt idx="1">
                  <c:v>03/2026</c:v>
                </c:pt>
                <c:pt idx="2">
                  <c:v>04/2026</c:v>
                </c:pt>
              </c:strCache>
            </c:strRef>
          </c:cat>
          <c:val>
            <c:numRef>
              <c:f>Data_Backend!$B$11:$B$13</c:f>
              <c:numCache>
                <c:formatCode>General</c:formatCode>
                <c:ptCount val="3"/>
                <c:pt idx="0">
                  <c:v>1146</c:v>
                </c:pt>
                <c:pt idx="1">
                  <c:v>2788</c:v>
                </c:pt>
                <c:pt idx="2">
                  <c:v>2033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C-452F-8FD7-36FD4FE5F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Tăng trưởng D7: WAU 4 tuần gần nhất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Lượng Active 7 ngày (WAU)</c:v>
          </c:tx>
          <c:spPr>
            <a:ln w="31750"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Data_Backend!$A$18:$A$21</c:f>
              <c:strCache>
                <c:ptCount val="4"/>
                <c:pt idx="0">
                  <c:v>Tuần 1 (29/03-04/04)</c:v>
                </c:pt>
                <c:pt idx="1">
                  <c:v>Tuần 2 (05/04-11/04)</c:v>
                </c:pt>
                <c:pt idx="2">
                  <c:v>Tuần 3 (12/04-18/04)</c:v>
                </c:pt>
                <c:pt idx="3">
                  <c:v>Tuần 4 (19/04-25/04)</c:v>
                </c:pt>
              </c:strCache>
            </c:strRef>
          </c:cat>
          <c:val>
            <c:numRef>
              <c:f>Data_Backend!$B$18:$B$21</c:f>
              <c:numCache>
                <c:formatCode>General</c:formatCode>
                <c:ptCount val="4"/>
                <c:pt idx="0">
                  <c:v>472</c:v>
                </c:pt>
                <c:pt idx="1">
                  <c:v>403</c:v>
                </c:pt>
                <c:pt idx="2">
                  <c:v>243</c:v>
                </c:pt>
                <c:pt idx="3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F-4EB5-9F54-B3926F913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Tăng trưởng D30: Lượng DAU quay lại theo tháng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Lượng Active 30 ngày (MAU)</c:v>
          </c:tx>
          <c:spPr>
            <a:solidFill>
              <a:srgbClr val="1F497D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Data_Backend!$A$27:$A$29</c:f>
              <c:strCache>
                <c:ptCount val="3"/>
                <c:pt idx="0">
                  <c:v>02/2026</c:v>
                </c:pt>
                <c:pt idx="1">
                  <c:v>03/2026</c:v>
                </c:pt>
                <c:pt idx="2">
                  <c:v>04/2026</c:v>
                </c:pt>
              </c:strCache>
            </c:strRef>
          </c:cat>
          <c:val>
            <c:numRef>
              <c:f>Data_Backend!$B$27:$B$29</c:f>
              <c:numCache>
                <c:formatCode>General</c:formatCode>
                <c:ptCount val="3"/>
                <c:pt idx="0">
                  <c:v>510</c:v>
                </c:pt>
                <c:pt idx="1">
                  <c:v>1338</c:v>
                </c:pt>
                <c:pt idx="2">
                  <c:v>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4-46E9-AA72-84CFE26ED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495300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495300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495300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495300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abSelected="1" workbookViewId="0">
      <selection activeCell="S12" sqref="S12"/>
    </sheetView>
  </sheetViews>
  <sheetFormatPr defaultRowHeight="13.9" x14ac:dyDescent="0.4"/>
  <cols>
    <col min="1" max="8" width="9.06640625" style="1"/>
    <col min="9" max="9" width="9.06640625" style="1" customWidth="1"/>
    <col min="10" max="16384" width="9.066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opLeftCell="A13" workbookViewId="0">
      <selection activeCell="C28" sqref="C28"/>
    </sheetView>
  </sheetViews>
  <sheetFormatPr defaultRowHeight="16.5" x14ac:dyDescent="0.45"/>
  <cols>
    <col min="1" max="1" width="30.73046875" style="3" customWidth="1"/>
    <col min="2" max="2" width="39.265625" style="3" customWidth="1"/>
    <col min="3" max="3" width="30.19921875" style="28" customWidth="1"/>
    <col min="4" max="16384" width="9.06640625" style="3"/>
  </cols>
  <sheetData>
    <row r="1" spans="1:3" x14ac:dyDescent="0.45">
      <c r="A1" s="2" t="s">
        <v>0</v>
      </c>
    </row>
    <row r="2" spans="1:3" x14ac:dyDescent="0.45">
      <c r="A2" s="14" t="s">
        <v>1</v>
      </c>
      <c r="B2" s="15" t="s">
        <v>2</v>
      </c>
      <c r="C2" s="14" t="s">
        <v>3</v>
      </c>
    </row>
    <row r="3" spans="1:3" x14ac:dyDescent="0.45">
      <c r="A3" s="5" t="s">
        <v>4</v>
      </c>
      <c r="B3" s="5">
        <f>'Raw data_1'!C6</f>
        <v>12328</v>
      </c>
      <c r="C3" s="29">
        <f>'Raw data_1'!F6</f>
        <v>8312</v>
      </c>
    </row>
    <row r="4" spans="1:3" x14ac:dyDescent="0.45">
      <c r="A4" s="5" t="s">
        <v>5</v>
      </c>
      <c r="B4" s="5">
        <f>'Raw data_1'!C8</f>
        <v>1523</v>
      </c>
      <c r="C4" s="29">
        <f>'Raw data_1'!F8</f>
        <v>1031</v>
      </c>
    </row>
    <row r="5" spans="1:3" x14ac:dyDescent="0.45">
      <c r="A5" s="6" t="s">
        <v>6</v>
      </c>
      <c r="B5" s="7">
        <f>B4/B3</f>
        <v>0.12353990914990266</v>
      </c>
      <c r="C5" s="27">
        <f>C4/C3</f>
        <v>0.12403753609239654</v>
      </c>
    </row>
    <row r="8" spans="1:3" x14ac:dyDescent="0.45">
      <c r="A8" s="2" t="s">
        <v>7</v>
      </c>
    </row>
    <row r="9" spans="1:3" x14ac:dyDescent="0.45">
      <c r="A9" s="4" t="s">
        <v>8</v>
      </c>
      <c r="B9" s="16" t="s">
        <v>40</v>
      </c>
      <c r="C9" s="14" t="s">
        <v>9</v>
      </c>
    </row>
    <row r="10" spans="1:3" x14ac:dyDescent="0.45">
      <c r="A10" s="19">
        <v>46023</v>
      </c>
      <c r="B10" s="18">
        <f>SUM('Raw data_2'!C3:C33)</f>
        <v>0</v>
      </c>
      <c r="C10" s="27"/>
    </row>
    <row r="11" spans="1:3" x14ac:dyDescent="0.45">
      <c r="A11" s="5" t="s">
        <v>10</v>
      </c>
      <c r="B11" s="5">
        <f>SUM('Raw data_2'!C34:C61)</f>
        <v>1146</v>
      </c>
      <c r="C11" s="27"/>
    </row>
    <row r="12" spans="1:3" x14ac:dyDescent="0.45">
      <c r="A12" s="5" t="s">
        <v>12</v>
      </c>
      <c r="B12" s="5">
        <f>SUM('Raw data_2'!C62:C92)</f>
        <v>2788</v>
      </c>
      <c r="C12" s="27">
        <f>(B12-B11)/B11</f>
        <v>1.4328097731239093</v>
      </c>
    </row>
    <row r="13" spans="1:3" x14ac:dyDescent="0.45">
      <c r="A13" s="5" t="s">
        <v>13</v>
      </c>
      <c r="B13" s="5">
        <f>SUM('Raw data_2'!C93:C118)</f>
        <v>2033</v>
      </c>
      <c r="C13" s="27">
        <f>(B13-B12)/B12</f>
        <v>-0.27080344332855094</v>
      </c>
    </row>
    <row r="16" spans="1:3" x14ac:dyDescent="0.45">
      <c r="A16" s="2" t="s">
        <v>14</v>
      </c>
    </row>
    <row r="17" spans="1:3" x14ac:dyDescent="0.45">
      <c r="A17" s="4" t="s">
        <v>15</v>
      </c>
      <c r="B17" s="4" t="s">
        <v>16</v>
      </c>
      <c r="C17" s="14" t="s">
        <v>17</v>
      </c>
    </row>
    <row r="18" spans="1:3" x14ac:dyDescent="0.45">
      <c r="A18" s="5" t="s">
        <v>18</v>
      </c>
      <c r="B18" s="5">
        <f>SUM('Raw data_2'!J90:J96)</f>
        <v>472</v>
      </c>
      <c r="C18" s="29" t="s">
        <v>11</v>
      </c>
    </row>
    <row r="19" spans="1:3" x14ac:dyDescent="0.45">
      <c r="A19" s="5" t="s">
        <v>19</v>
      </c>
      <c r="B19" s="5">
        <f>SUM('Raw data_2'!J97:J103)</f>
        <v>403</v>
      </c>
      <c r="C19" s="27">
        <f>(B19-B18)/B18</f>
        <v>-0.1461864406779661</v>
      </c>
    </row>
    <row r="20" spans="1:3" x14ac:dyDescent="0.45">
      <c r="A20" s="5" t="s">
        <v>20</v>
      </c>
      <c r="B20" s="5">
        <f>SUM('Raw data_2'!J105:J110)</f>
        <v>243</v>
      </c>
      <c r="C20" s="27">
        <f>(B20-B19)/B19</f>
        <v>-0.3970223325062035</v>
      </c>
    </row>
    <row r="21" spans="1:3" x14ac:dyDescent="0.45">
      <c r="A21" s="5" t="s">
        <v>21</v>
      </c>
      <c r="B21" s="5">
        <f>SUM('Raw data_2'!J111:J117)</f>
        <v>322</v>
      </c>
      <c r="C21" s="27">
        <f>(B21-B20)/B20</f>
        <v>0.32510288065843623</v>
      </c>
    </row>
    <row r="24" spans="1:3" x14ac:dyDescent="0.45">
      <c r="A24" s="2" t="s">
        <v>22</v>
      </c>
    </row>
    <row r="25" spans="1:3" x14ac:dyDescent="0.45">
      <c r="A25" s="4" t="s">
        <v>8</v>
      </c>
      <c r="B25" s="4" t="s">
        <v>23</v>
      </c>
      <c r="C25" s="14" t="s">
        <v>24</v>
      </c>
    </row>
    <row r="26" spans="1:3" x14ac:dyDescent="0.45">
      <c r="A26" s="19">
        <v>46023</v>
      </c>
      <c r="B26" s="17">
        <f>SUM('Raw data_2'!J3:J33)</f>
        <v>0</v>
      </c>
      <c r="C26" s="29" t="e">
        <f>(B26-B25)/B25</f>
        <v>#VALUE!</v>
      </c>
    </row>
    <row r="27" spans="1:3" x14ac:dyDescent="0.45">
      <c r="A27" s="5" t="s">
        <v>10</v>
      </c>
      <c r="B27" s="5">
        <f>SUM('Raw data_2'!J34:J61)</f>
        <v>510</v>
      </c>
      <c r="C27" s="29" t="e">
        <f>(B27-B26)/B26</f>
        <v>#DIV/0!</v>
      </c>
    </row>
    <row r="28" spans="1:3" x14ac:dyDescent="0.45">
      <c r="A28" s="5" t="s">
        <v>12</v>
      </c>
      <c r="B28" s="5">
        <f>SUM('Raw data_2'!J62:J92)</f>
        <v>1338</v>
      </c>
      <c r="C28" s="27">
        <f>(B28-B27)/B27</f>
        <v>1.6235294117647059</v>
      </c>
    </row>
    <row r="29" spans="1:3" x14ac:dyDescent="0.45">
      <c r="A29" s="5" t="s">
        <v>13</v>
      </c>
      <c r="B29" s="5">
        <f>SUM('Raw data_2'!J93:J118)</f>
        <v>1319</v>
      </c>
      <c r="C29" s="27">
        <f>(B29-B28)/B28</f>
        <v>-1.4200298953662182E-2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022A-E34D-453C-8C26-40286738F386}">
  <dimension ref="A3:F13"/>
  <sheetViews>
    <sheetView workbookViewId="0">
      <selection activeCell="B26" sqref="B26"/>
    </sheetView>
  </sheetViews>
  <sheetFormatPr defaultRowHeight="13.9" x14ac:dyDescent="0.4"/>
  <cols>
    <col min="1" max="1" width="11.9296875" style="1" customWidth="1"/>
    <col min="2" max="2" width="19.265625" style="1" customWidth="1"/>
    <col min="3" max="3" width="20.73046875" style="1" customWidth="1"/>
    <col min="4" max="4" width="9.06640625" style="1"/>
    <col min="5" max="5" width="18.6640625" style="1" customWidth="1"/>
    <col min="6" max="6" width="11.796875" style="1" customWidth="1"/>
    <col min="7" max="16384" width="9.06640625" style="1"/>
  </cols>
  <sheetData>
    <row r="3" spans="1:6" x14ac:dyDescent="0.4">
      <c r="A3" s="8"/>
      <c r="B3" s="8" t="s">
        <v>25</v>
      </c>
      <c r="C3" s="8" t="s">
        <v>26</v>
      </c>
      <c r="E3" s="8" t="s">
        <v>25</v>
      </c>
      <c r="F3" s="8" t="s">
        <v>26</v>
      </c>
    </row>
    <row r="4" spans="1:6" x14ac:dyDescent="0.4">
      <c r="A4" s="9"/>
      <c r="B4" s="1" t="s">
        <v>27</v>
      </c>
      <c r="C4" s="1" t="s">
        <v>37</v>
      </c>
      <c r="E4" s="1" t="s">
        <v>27</v>
      </c>
      <c r="F4" s="1" t="s">
        <v>37</v>
      </c>
    </row>
    <row r="5" spans="1:6" x14ac:dyDescent="0.4">
      <c r="A5" s="9"/>
      <c r="B5" s="1" t="s">
        <v>28</v>
      </c>
      <c r="C5" s="1" t="s">
        <v>38</v>
      </c>
      <c r="E5" s="1" t="s">
        <v>28</v>
      </c>
      <c r="F5" s="1" t="s">
        <v>167</v>
      </c>
    </row>
    <row r="6" spans="1:6" x14ac:dyDescent="0.4">
      <c r="A6" s="9"/>
      <c r="B6" s="1" t="s">
        <v>29</v>
      </c>
      <c r="C6" s="10">
        <v>12328</v>
      </c>
      <c r="E6" s="1" t="s">
        <v>29</v>
      </c>
      <c r="F6" s="10">
        <v>8312</v>
      </c>
    </row>
    <row r="7" spans="1:6" x14ac:dyDescent="0.4">
      <c r="A7" s="9"/>
      <c r="B7" s="1" t="s">
        <v>30</v>
      </c>
      <c r="C7" s="10">
        <v>5967</v>
      </c>
      <c r="E7" s="1" t="s">
        <v>30</v>
      </c>
      <c r="F7" s="10">
        <v>3939</v>
      </c>
    </row>
    <row r="8" spans="1:6" x14ac:dyDescent="0.4">
      <c r="A8" s="9"/>
      <c r="B8" s="1" t="s">
        <v>31</v>
      </c>
      <c r="C8" s="10">
        <v>1523</v>
      </c>
      <c r="E8" s="1" t="s">
        <v>31</v>
      </c>
      <c r="F8" s="10">
        <v>1031</v>
      </c>
    </row>
    <row r="9" spans="1:6" x14ac:dyDescent="0.4">
      <c r="A9" s="9"/>
      <c r="B9" s="1" t="s">
        <v>32</v>
      </c>
      <c r="C9" s="10">
        <v>846</v>
      </c>
      <c r="E9" s="1" t="s">
        <v>32</v>
      </c>
      <c r="F9" s="10">
        <v>549</v>
      </c>
    </row>
    <row r="10" spans="1:6" x14ac:dyDescent="0.4">
      <c r="A10" s="9"/>
      <c r="B10" s="1" t="s">
        <v>33</v>
      </c>
      <c r="C10" s="10">
        <v>668</v>
      </c>
      <c r="E10" s="1" t="s">
        <v>33</v>
      </c>
      <c r="F10" s="10">
        <v>426</v>
      </c>
    </row>
    <row r="11" spans="1:6" x14ac:dyDescent="0.4">
      <c r="A11" s="9"/>
      <c r="B11" s="1" t="s">
        <v>34</v>
      </c>
      <c r="C11" s="10">
        <v>167</v>
      </c>
      <c r="E11" s="1" t="s">
        <v>34</v>
      </c>
      <c r="F11" s="10">
        <v>80</v>
      </c>
    </row>
    <row r="12" spans="1:6" x14ac:dyDescent="0.4">
      <c r="A12" s="9"/>
      <c r="B12" s="1" t="s">
        <v>35</v>
      </c>
      <c r="C12" s="10">
        <v>38</v>
      </c>
      <c r="E12" s="1" t="s">
        <v>35</v>
      </c>
      <c r="F12" s="10">
        <v>19</v>
      </c>
    </row>
    <row r="13" spans="1:6" x14ac:dyDescent="0.4">
      <c r="A13" s="9"/>
      <c r="B13" s="1" t="s">
        <v>36</v>
      </c>
      <c r="C13" s="10">
        <v>1</v>
      </c>
      <c r="E13" s="1" t="s">
        <v>36</v>
      </c>
      <c r="F13" s="10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2BDD-1E6C-4CFA-BF12-A8A01857342C}">
  <dimension ref="A1:T118"/>
  <sheetViews>
    <sheetView topLeftCell="A12" zoomScale="115" zoomScaleNormal="115" workbookViewId="0">
      <selection activeCell="C3" sqref="C3:C33"/>
    </sheetView>
  </sheetViews>
  <sheetFormatPr defaultRowHeight="14.25" x14ac:dyDescent="0.45"/>
  <cols>
    <col min="1" max="1" width="10.3984375" customWidth="1"/>
    <col min="2" max="2" width="16.53125" customWidth="1"/>
    <col min="3" max="3" width="17.53125" style="26" customWidth="1"/>
    <col min="4" max="4" width="8" customWidth="1"/>
    <col min="5" max="5" width="14" customWidth="1"/>
    <col min="6" max="6" width="12.73046875" customWidth="1"/>
    <col min="7" max="7" width="15.86328125" customWidth="1"/>
    <col min="8" max="8" width="10.1328125" customWidth="1"/>
    <col min="9" max="9" width="13.53125" customWidth="1"/>
    <col min="10" max="10" width="22" style="26" customWidth="1"/>
    <col min="11" max="12" width="23.86328125" customWidth="1"/>
    <col min="13" max="13" width="24" customWidth="1"/>
    <col min="14" max="14" width="16.86328125" customWidth="1"/>
    <col min="15" max="15" width="19.53125" customWidth="1"/>
    <col min="16" max="16" width="20" customWidth="1"/>
    <col min="17" max="17" width="21.86328125" customWidth="1"/>
    <col min="18" max="18" width="19.265625" customWidth="1"/>
  </cols>
  <sheetData>
    <row r="1" spans="1:18" x14ac:dyDescent="0.45">
      <c r="A1" s="11" t="s">
        <v>39</v>
      </c>
      <c r="B1" s="11" t="s">
        <v>29</v>
      </c>
      <c r="C1" s="23" t="s">
        <v>40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23" t="s">
        <v>41</v>
      </c>
      <c r="K1" s="11" t="s">
        <v>42</v>
      </c>
      <c r="L1" s="11" t="s">
        <v>43</v>
      </c>
      <c r="M1" s="11" t="s">
        <v>44</v>
      </c>
      <c r="N1" s="11" t="s">
        <v>45</v>
      </c>
      <c r="O1" s="11" t="s">
        <v>46</v>
      </c>
      <c r="P1" s="11" t="s">
        <v>47</v>
      </c>
      <c r="Q1" s="11" t="s">
        <v>48</v>
      </c>
      <c r="R1" s="11" t="s">
        <v>49</v>
      </c>
    </row>
    <row r="2" spans="1:18" x14ac:dyDescent="0.45">
      <c r="A2" s="12" t="s">
        <v>50</v>
      </c>
      <c r="B2" s="12">
        <v>0</v>
      </c>
      <c r="C2" s="24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24">
        <v>0</v>
      </c>
      <c r="K2" s="12">
        <v>0</v>
      </c>
      <c r="L2" s="12">
        <v>0</v>
      </c>
      <c r="M2" s="12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</row>
    <row r="3" spans="1:18" x14ac:dyDescent="0.45">
      <c r="A3" s="12" t="s">
        <v>51</v>
      </c>
      <c r="B3" s="12">
        <v>0</v>
      </c>
      <c r="C3" s="24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24">
        <v>0</v>
      </c>
      <c r="K3" s="12">
        <v>0</v>
      </c>
      <c r="L3" s="12">
        <v>0</v>
      </c>
      <c r="M3" s="12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</row>
    <row r="4" spans="1:18" x14ac:dyDescent="0.45">
      <c r="A4" s="12" t="s">
        <v>52</v>
      </c>
      <c r="B4" s="12">
        <v>0</v>
      </c>
      <c r="C4" s="24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24">
        <v>0</v>
      </c>
      <c r="K4" s="12">
        <v>0</v>
      </c>
      <c r="L4" s="12">
        <v>0</v>
      </c>
      <c r="M4" s="12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</row>
    <row r="5" spans="1:18" x14ac:dyDescent="0.45">
      <c r="A5" s="12" t="s">
        <v>53</v>
      </c>
      <c r="B5" s="12">
        <v>0</v>
      </c>
      <c r="C5" s="24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24">
        <v>0</v>
      </c>
      <c r="K5" s="12">
        <v>0</v>
      </c>
      <c r="L5" s="12">
        <v>0</v>
      </c>
      <c r="M5" s="12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</row>
    <row r="6" spans="1:18" x14ac:dyDescent="0.45">
      <c r="A6" s="12" t="s">
        <v>54</v>
      </c>
      <c r="B6" s="12">
        <v>0</v>
      </c>
      <c r="C6" s="24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24">
        <v>0</v>
      </c>
      <c r="K6" s="12">
        <v>0</v>
      </c>
      <c r="L6" s="12">
        <v>0</v>
      </c>
      <c r="M6" s="12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</row>
    <row r="7" spans="1:18" x14ac:dyDescent="0.45">
      <c r="A7" s="12" t="s">
        <v>55</v>
      </c>
      <c r="B7" s="12">
        <v>0</v>
      </c>
      <c r="C7" s="24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24">
        <v>0</v>
      </c>
      <c r="K7" s="12">
        <v>0</v>
      </c>
      <c r="L7" s="12">
        <v>0</v>
      </c>
      <c r="M7" s="12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</row>
    <row r="8" spans="1:18" x14ac:dyDescent="0.45">
      <c r="A8" s="12" t="s">
        <v>56</v>
      </c>
      <c r="B8" s="12">
        <v>0</v>
      </c>
      <c r="C8" s="24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24">
        <v>0</v>
      </c>
      <c r="K8" s="12">
        <v>0</v>
      </c>
      <c r="L8" s="12">
        <v>0</v>
      </c>
      <c r="M8" s="12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</row>
    <row r="9" spans="1:18" x14ac:dyDescent="0.45">
      <c r="A9" s="12" t="s">
        <v>57</v>
      </c>
      <c r="B9" s="12">
        <v>0</v>
      </c>
      <c r="C9" s="24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24">
        <v>0</v>
      </c>
      <c r="K9" s="12">
        <v>0</v>
      </c>
      <c r="L9" s="12">
        <v>0</v>
      </c>
      <c r="M9" s="12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</row>
    <row r="10" spans="1:18" x14ac:dyDescent="0.45">
      <c r="A10" s="12" t="s">
        <v>58</v>
      </c>
      <c r="B10" s="12">
        <v>0</v>
      </c>
      <c r="C10" s="24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24">
        <v>0</v>
      </c>
      <c r="K10" s="12">
        <v>0</v>
      </c>
      <c r="L10" s="12">
        <v>0</v>
      </c>
      <c r="M10" s="12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</row>
    <row r="11" spans="1:18" x14ac:dyDescent="0.45">
      <c r="A11" s="12" t="s">
        <v>59</v>
      </c>
      <c r="B11" s="12">
        <v>0</v>
      </c>
      <c r="C11" s="24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24">
        <v>0</v>
      </c>
      <c r="K11" s="12">
        <v>0</v>
      </c>
      <c r="L11" s="12">
        <v>0</v>
      </c>
      <c r="M11" s="12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</row>
    <row r="12" spans="1:18" x14ac:dyDescent="0.45">
      <c r="A12" s="12" t="s">
        <v>60</v>
      </c>
      <c r="B12" s="12">
        <v>0</v>
      </c>
      <c r="C12" s="24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24">
        <v>0</v>
      </c>
      <c r="K12" s="12">
        <v>0</v>
      </c>
      <c r="L12" s="12">
        <v>0</v>
      </c>
      <c r="M12" s="12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</row>
    <row r="13" spans="1:18" x14ac:dyDescent="0.45">
      <c r="A13" s="12" t="s">
        <v>61</v>
      </c>
      <c r="B13" s="12">
        <v>0</v>
      </c>
      <c r="C13" s="24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24">
        <v>0</v>
      </c>
      <c r="K13" s="12">
        <v>0</v>
      </c>
      <c r="L13" s="12">
        <v>0</v>
      </c>
      <c r="M13" s="12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</row>
    <row r="14" spans="1:18" x14ac:dyDescent="0.45">
      <c r="A14" s="12" t="s">
        <v>62</v>
      </c>
      <c r="B14" s="12">
        <v>0</v>
      </c>
      <c r="C14" s="24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24">
        <v>0</v>
      </c>
      <c r="K14" s="12">
        <v>0</v>
      </c>
      <c r="L14" s="12">
        <v>0</v>
      </c>
      <c r="M14" s="12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</row>
    <row r="15" spans="1:18" x14ac:dyDescent="0.45">
      <c r="A15" s="12" t="s">
        <v>63</v>
      </c>
      <c r="B15" s="12">
        <v>0</v>
      </c>
      <c r="C15" s="24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24">
        <v>0</v>
      </c>
      <c r="K15" s="12">
        <v>0</v>
      </c>
      <c r="L15" s="12">
        <v>0</v>
      </c>
      <c r="M15" s="12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</row>
    <row r="16" spans="1:18" x14ac:dyDescent="0.45">
      <c r="A16" s="12" t="s">
        <v>64</v>
      </c>
      <c r="B16" s="12">
        <v>0</v>
      </c>
      <c r="C16" s="24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24">
        <v>0</v>
      </c>
      <c r="K16" s="12">
        <v>0</v>
      </c>
      <c r="L16" s="12">
        <v>0</v>
      </c>
      <c r="M16" s="12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</row>
    <row r="17" spans="1:18" x14ac:dyDescent="0.45">
      <c r="A17" s="12" t="s">
        <v>65</v>
      </c>
      <c r="B17" s="12">
        <v>0</v>
      </c>
      <c r="C17" s="24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24">
        <v>0</v>
      </c>
      <c r="K17" s="12">
        <v>0</v>
      </c>
      <c r="L17" s="12">
        <v>0</v>
      </c>
      <c r="M17" s="12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</row>
    <row r="18" spans="1:18" x14ac:dyDescent="0.45">
      <c r="A18" s="12" t="s">
        <v>66</v>
      </c>
      <c r="B18" s="12">
        <v>0</v>
      </c>
      <c r="C18" s="24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24">
        <v>0</v>
      </c>
      <c r="K18" s="12">
        <v>0</v>
      </c>
      <c r="L18" s="12">
        <v>0</v>
      </c>
      <c r="M18" s="12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</row>
    <row r="19" spans="1:18" x14ac:dyDescent="0.45">
      <c r="A19" s="12" t="s">
        <v>67</v>
      </c>
      <c r="B19" s="12">
        <v>0</v>
      </c>
      <c r="C19" s="24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24">
        <v>0</v>
      </c>
      <c r="K19" s="12">
        <v>0</v>
      </c>
      <c r="L19" s="12">
        <v>0</v>
      </c>
      <c r="M19" s="12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spans="1:18" x14ac:dyDescent="0.45">
      <c r="A20" s="12" t="s">
        <v>68</v>
      </c>
      <c r="B20" s="12">
        <v>0</v>
      </c>
      <c r="C20" s="24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24">
        <v>0</v>
      </c>
      <c r="K20" s="12">
        <v>0</v>
      </c>
      <c r="L20" s="12">
        <v>0</v>
      </c>
      <c r="M20" s="12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</row>
    <row r="21" spans="1:18" x14ac:dyDescent="0.45">
      <c r="A21" s="12" t="s">
        <v>69</v>
      </c>
      <c r="B21" s="12">
        <v>0</v>
      </c>
      <c r="C21" s="24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24">
        <v>0</v>
      </c>
      <c r="K21" s="12">
        <v>0</v>
      </c>
      <c r="L21" s="12">
        <v>0</v>
      </c>
      <c r="M21" s="12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</row>
    <row r="22" spans="1:18" x14ac:dyDescent="0.45">
      <c r="A22" s="12" t="s">
        <v>70</v>
      </c>
      <c r="B22" s="12">
        <v>0</v>
      </c>
      <c r="C22" s="24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24">
        <v>0</v>
      </c>
      <c r="K22" s="12">
        <v>0</v>
      </c>
      <c r="L22" s="12">
        <v>0</v>
      </c>
      <c r="M22" s="12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</row>
    <row r="23" spans="1:18" x14ac:dyDescent="0.45">
      <c r="A23" s="12" t="s">
        <v>71</v>
      </c>
      <c r="B23" s="12">
        <v>0</v>
      </c>
      <c r="C23" s="24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24">
        <v>0</v>
      </c>
      <c r="K23" s="12">
        <v>0</v>
      </c>
      <c r="L23" s="12">
        <v>0</v>
      </c>
      <c r="M23" s="12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</row>
    <row r="24" spans="1:18" x14ac:dyDescent="0.45">
      <c r="A24" s="12" t="s">
        <v>72</v>
      </c>
      <c r="B24" s="12">
        <v>0</v>
      </c>
      <c r="C24" s="24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24">
        <v>0</v>
      </c>
      <c r="K24" s="12">
        <v>0</v>
      </c>
      <c r="L24" s="12">
        <v>0</v>
      </c>
      <c r="M24" s="12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</row>
    <row r="25" spans="1:18" x14ac:dyDescent="0.45">
      <c r="A25" s="12" t="s">
        <v>73</v>
      </c>
      <c r="B25" s="12">
        <v>0</v>
      </c>
      <c r="C25" s="24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24">
        <v>0</v>
      </c>
      <c r="K25" s="12">
        <v>0</v>
      </c>
      <c r="L25" s="12">
        <v>0</v>
      </c>
      <c r="M25" s="12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</row>
    <row r="26" spans="1:18" x14ac:dyDescent="0.45">
      <c r="A26" s="12" t="s">
        <v>74</v>
      </c>
      <c r="B26" s="12">
        <v>0</v>
      </c>
      <c r="C26" s="24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24">
        <v>0</v>
      </c>
      <c r="K26" s="12">
        <v>0</v>
      </c>
      <c r="L26" s="12">
        <v>0</v>
      </c>
      <c r="M26" s="12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</row>
    <row r="27" spans="1:18" x14ac:dyDescent="0.45">
      <c r="A27" s="12" t="s">
        <v>75</v>
      </c>
      <c r="B27" s="12">
        <v>0</v>
      </c>
      <c r="C27" s="24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24">
        <v>0</v>
      </c>
      <c r="K27" s="12">
        <v>0</v>
      </c>
      <c r="L27" s="12">
        <v>0</v>
      </c>
      <c r="M27" s="12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</row>
    <row r="28" spans="1:18" x14ac:dyDescent="0.45">
      <c r="A28" s="12" t="s">
        <v>76</v>
      </c>
      <c r="B28" s="12">
        <v>0</v>
      </c>
      <c r="C28" s="24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24">
        <v>0</v>
      </c>
      <c r="K28" s="12">
        <v>0</v>
      </c>
      <c r="L28" s="12">
        <v>0</v>
      </c>
      <c r="M28" s="12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</row>
    <row r="29" spans="1:18" x14ac:dyDescent="0.45">
      <c r="A29" s="12" t="s">
        <v>77</v>
      </c>
      <c r="B29" s="12">
        <v>0</v>
      </c>
      <c r="C29" s="24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24">
        <v>0</v>
      </c>
      <c r="K29" s="12">
        <v>0</v>
      </c>
      <c r="L29" s="12">
        <v>0</v>
      </c>
      <c r="M29" s="12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</row>
    <row r="30" spans="1:18" x14ac:dyDescent="0.45">
      <c r="A30" s="12" t="s">
        <v>78</v>
      </c>
      <c r="B30" s="12">
        <v>0</v>
      </c>
      <c r="C30" s="24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24">
        <v>0</v>
      </c>
      <c r="K30" s="12">
        <v>0</v>
      </c>
      <c r="L30" s="12">
        <v>0</v>
      </c>
      <c r="M30" s="12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</row>
    <row r="31" spans="1:18" x14ac:dyDescent="0.45">
      <c r="A31" s="12" t="s">
        <v>79</v>
      </c>
      <c r="B31" s="12">
        <v>0</v>
      </c>
      <c r="C31" s="24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24">
        <v>0</v>
      </c>
      <c r="K31" s="12">
        <v>0</v>
      </c>
      <c r="L31" s="12">
        <v>0</v>
      </c>
      <c r="M31" s="12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</row>
    <row r="32" spans="1:18" x14ac:dyDescent="0.45">
      <c r="A32" s="12" t="s">
        <v>80</v>
      </c>
      <c r="B32" s="12">
        <v>0</v>
      </c>
      <c r="C32" s="24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24">
        <v>0</v>
      </c>
      <c r="K32" s="12">
        <v>0</v>
      </c>
      <c r="L32" s="12">
        <v>0</v>
      </c>
      <c r="M32" s="12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</row>
    <row r="33" spans="1:18" x14ac:dyDescent="0.45">
      <c r="A33" s="12" t="s">
        <v>81</v>
      </c>
      <c r="B33" s="12">
        <v>0</v>
      </c>
      <c r="C33" s="24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24">
        <v>0</v>
      </c>
      <c r="K33" s="12">
        <v>0</v>
      </c>
      <c r="L33" s="12">
        <v>0</v>
      </c>
      <c r="M33" s="12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</row>
    <row r="34" spans="1:18" s="22" customFormat="1" x14ac:dyDescent="0.45">
      <c r="A34" s="20" t="s">
        <v>82</v>
      </c>
      <c r="B34" s="20">
        <v>0</v>
      </c>
      <c r="C34" s="25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5">
        <v>0</v>
      </c>
      <c r="K34" s="20">
        <v>0</v>
      </c>
      <c r="L34" s="20">
        <v>0</v>
      </c>
      <c r="M34" s="20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</row>
    <row r="35" spans="1:18" s="22" customFormat="1" x14ac:dyDescent="0.45">
      <c r="A35" s="20" t="s">
        <v>83</v>
      </c>
      <c r="B35" s="20">
        <v>0</v>
      </c>
      <c r="C35" s="25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5">
        <v>0</v>
      </c>
      <c r="K35" s="20">
        <v>0</v>
      </c>
      <c r="L35" s="20">
        <v>0</v>
      </c>
      <c r="M35" s="20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</row>
    <row r="36" spans="1:18" s="22" customFormat="1" x14ac:dyDescent="0.45">
      <c r="A36" s="20" t="s">
        <v>84</v>
      </c>
      <c r="B36" s="20">
        <v>17</v>
      </c>
      <c r="C36" s="25">
        <v>8</v>
      </c>
      <c r="D36" s="20">
        <v>1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5">
        <v>2</v>
      </c>
      <c r="K36" s="20">
        <v>0</v>
      </c>
      <c r="L36" s="20">
        <v>0</v>
      </c>
      <c r="M36" s="20">
        <v>0</v>
      </c>
      <c r="N36" s="21">
        <v>12.5</v>
      </c>
      <c r="O36" s="21">
        <v>0</v>
      </c>
      <c r="P36" s="21">
        <v>0</v>
      </c>
      <c r="Q36" s="21">
        <v>0</v>
      </c>
      <c r="R36" s="21">
        <v>0</v>
      </c>
    </row>
    <row r="37" spans="1:18" s="22" customFormat="1" x14ac:dyDescent="0.45">
      <c r="A37" s="20" t="s">
        <v>85</v>
      </c>
      <c r="B37" s="20">
        <v>181</v>
      </c>
      <c r="C37" s="25">
        <v>78</v>
      </c>
      <c r="D37" s="20">
        <v>15</v>
      </c>
      <c r="E37" s="20">
        <v>9</v>
      </c>
      <c r="F37" s="20">
        <v>7</v>
      </c>
      <c r="G37" s="20">
        <v>1</v>
      </c>
      <c r="H37" s="20">
        <v>1</v>
      </c>
      <c r="I37" s="20">
        <v>0</v>
      </c>
      <c r="J37" s="25">
        <v>18</v>
      </c>
      <c r="K37" s="20">
        <v>6</v>
      </c>
      <c r="L37" s="20">
        <v>0</v>
      </c>
      <c r="M37" s="20">
        <v>0</v>
      </c>
      <c r="N37" s="21">
        <v>19.230769230769202</v>
      </c>
      <c r="O37" s="21">
        <v>60</v>
      </c>
      <c r="P37" s="21">
        <v>77.7777777777778</v>
      </c>
      <c r="Q37" s="21">
        <v>14.285714285714301</v>
      </c>
      <c r="R37" s="21">
        <v>100</v>
      </c>
    </row>
    <row r="38" spans="1:18" s="22" customFormat="1" x14ac:dyDescent="0.45">
      <c r="A38" s="20" t="s">
        <v>86</v>
      </c>
      <c r="B38" s="20">
        <v>44</v>
      </c>
      <c r="C38" s="25">
        <v>26</v>
      </c>
      <c r="D38" s="20">
        <v>10</v>
      </c>
      <c r="E38" s="20">
        <v>8</v>
      </c>
      <c r="F38" s="20">
        <v>1</v>
      </c>
      <c r="G38" s="20">
        <v>1</v>
      </c>
      <c r="H38" s="20">
        <v>0</v>
      </c>
      <c r="I38" s="20">
        <v>0</v>
      </c>
      <c r="J38" s="25">
        <v>27</v>
      </c>
      <c r="K38" s="20">
        <v>7</v>
      </c>
      <c r="L38" s="20">
        <v>0</v>
      </c>
      <c r="M38" s="20">
        <v>0</v>
      </c>
      <c r="N38" s="21">
        <v>38.461538461538503</v>
      </c>
      <c r="O38" s="21">
        <v>80</v>
      </c>
      <c r="P38" s="21">
        <v>12.5</v>
      </c>
      <c r="Q38" s="21">
        <v>100</v>
      </c>
      <c r="R38" s="21">
        <v>0</v>
      </c>
    </row>
    <row r="39" spans="1:18" s="22" customFormat="1" x14ac:dyDescent="0.45">
      <c r="A39" s="20" t="s">
        <v>87</v>
      </c>
      <c r="B39" s="20">
        <v>1369</v>
      </c>
      <c r="C39" s="25">
        <v>601</v>
      </c>
      <c r="D39" s="20">
        <v>144</v>
      </c>
      <c r="E39" s="20">
        <v>42</v>
      </c>
      <c r="F39" s="20">
        <v>31</v>
      </c>
      <c r="G39" s="20">
        <v>5</v>
      </c>
      <c r="H39" s="20">
        <v>2</v>
      </c>
      <c r="I39" s="20">
        <v>0</v>
      </c>
      <c r="J39" s="25">
        <v>148</v>
      </c>
      <c r="K39" s="20">
        <v>42</v>
      </c>
      <c r="L39" s="20">
        <v>0</v>
      </c>
      <c r="M39" s="20">
        <v>0</v>
      </c>
      <c r="N39" s="21">
        <v>23.960066555740401</v>
      </c>
      <c r="O39" s="21">
        <v>29.1666666666667</v>
      </c>
      <c r="P39" s="21">
        <v>73.809523809523796</v>
      </c>
      <c r="Q39" s="21">
        <v>16.129032258064498</v>
      </c>
      <c r="R39" s="21">
        <v>40</v>
      </c>
    </row>
    <row r="40" spans="1:18" s="22" customFormat="1" x14ac:dyDescent="0.45">
      <c r="A40" s="20" t="s">
        <v>88</v>
      </c>
      <c r="B40" s="20">
        <v>103</v>
      </c>
      <c r="C40" s="25">
        <v>56</v>
      </c>
      <c r="D40" s="20">
        <v>12</v>
      </c>
      <c r="E40" s="20">
        <v>6</v>
      </c>
      <c r="F40" s="20">
        <v>7</v>
      </c>
      <c r="G40" s="20">
        <v>3</v>
      </c>
      <c r="H40" s="20">
        <v>0</v>
      </c>
      <c r="I40" s="20">
        <v>0</v>
      </c>
      <c r="J40" s="25">
        <v>25</v>
      </c>
      <c r="K40" s="20">
        <v>7</v>
      </c>
      <c r="L40" s="20">
        <v>0</v>
      </c>
      <c r="M40" s="20">
        <v>0</v>
      </c>
      <c r="N40" s="21">
        <v>21.428571428571399</v>
      </c>
      <c r="O40" s="21">
        <v>50</v>
      </c>
      <c r="P40" s="21">
        <v>116.666666666667</v>
      </c>
      <c r="Q40" s="21">
        <v>42.857142857142897</v>
      </c>
      <c r="R40" s="21">
        <v>0</v>
      </c>
    </row>
    <row r="41" spans="1:18" s="22" customFormat="1" x14ac:dyDescent="0.45">
      <c r="A41" s="20" t="s">
        <v>89</v>
      </c>
      <c r="B41" s="20">
        <v>83</v>
      </c>
      <c r="C41" s="25">
        <v>45</v>
      </c>
      <c r="D41" s="20">
        <v>10</v>
      </c>
      <c r="E41" s="20">
        <v>6</v>
      </c>
      <c r="F41" s="20">
        <v>6</v>
      </c>
      <c r="G41" s="20">
        <v>0</v>
      </c>
      <c r="H41" s="20">
        <v>0</v>
      </c>
      <c r="I41" s="20">
        <v>0</v>
      </c>
      <c r="J41" s="25">
        <v>24</v>
      </c>
      <c r="K41" s="20">
        <v>10</v>
      </c>
      <c r="L41" s="20">
        <v>2</v>
      </c>
      <c r="M41" s="20">
        <v>1</v>
      </c>
      <c r="N41" s="21">
        <v>22.2222222222222</v>
      </c>
      <c r="O41" s="21">
        <v>60</v>
      </c>
      <c r="P41" s="21">
        <v>100</v>
      </c>
      <c r="Q41" s="21">
        <v>0</v>
      </c>
      <c r="R41" s="21">
        <v>0</v>
      </c>
    </row>
    <row r="42" spans="1:18" s="22" customFormat="1" x14ac:dyDescent="0.45">
      <c r="A42" s="20" t="s">
        <v>90</v>
      </c>
      <c r="B42" s="20">
        <v>68</v>
      </c>
      <c r="C42" s="25">
        <v>29</v>
      </c>
      <c r="D42" s="20">
        <v>6</v>
      </c>
      <c r="E42" s="20">
        <v>3</v>
      </c>
      <c r="F42" s="20">
        <v>6</v>
      </c>
      <c r="G42" s="20">
        <v>1</v>
      </c>
      <c r="H42" s="20">
        <v>1</v>
      </c>
      <c r="I42" s="20">
        <v>0</v>
      </c>
      <c r="J42" s="25">
        <v>16</v>
      </c>
      <c r="K42" s="20">
        <v>6</v>
      </c>
      <c r="L42" s="20">
        <v>0</v>
      </c>
      <c r="M42" s="20">
        <v>0</v>
      </c>
      <c r="N42" s="21">
        <v>20.689655172413801</v>
      </c>
      <c r="O42" s="21">
        <v>50</v>
      </c>
      <c r="P42" s="21">
        <v>200</v>
      </c>
      <c r="Q42" s="21">
        <v>16.6666666666667</v>
      </c>
      <c r="R42" s="21">
        <v>100</v>
      </c>
    </row>
    <row r="43" spans="1:18" s="22" customFormat="1" x14ac:dyDescent="0.45">
      <c r="A43" s="20" t="s">
        <v>91</v>
      </c>
      <c r="B43" s="20">
        <v>103</v>
      </c>
      <c r="C43" s="25">
        <v>44</v>
      </c>
      <c r="D43" s="20">
        <v>14</v>
      </c>
      <c r="E43" s="20">
        <v>3</v>
      </c>
      <c r="F43" s="20">
        <v>10</v>
      </c>
      <c r="G43" s="20">
        <v>3</v>
      </c>
      <c r="H43" s="20">
        <v>0</v>
      </c>
      <c r="I43" s="20">
        <v>0</v>
      </c>
      <c r="J43" s="25">
        <v>25</v>
      </c>
      <c r="K43" s="20">
        <v>9</v>
      </c>
      <c r="L43" s="20">
        <v>0</v>
      </c>
      <c r="M43" s="20">
        <v>0</v>
      </c>
      <c r="N43" s="21">
        <v>31.818181818181799</v>
      </c>
      <c r="O43" s="21">
        <v>21.428571428571399</v>
      </c>
      <c r="P43" s="21">
        <v>333.33333333333297</v>
      </c>
      <c r="Q43" s="21">
        <v>30</v>
      </c>
      <c r="R43" s="21">
        <v>0</v>
      </c>
    </row>
    <row r="44" spans="1:18" s="22" customFormat="1" x14ac:dyDescent="0.45">
      <c r="A44" s="20" t="s">
        <v>92</v>
      </c>
      <c r="B44" s="20">
        <v>34</v>
      </c>
      <c r="C44" s="25">
        <v>15</v>
      </c>
      <c r="D44" s="20">
        <v>5</v>
      </c>
      <c r="E44" s="20">
        <v>3</v>
      </c>
      <c r="F44" s="20">
        <v>1</v>
      </c>
      <c r="G44" s="20">
        <v>0</v>
      </c>
      <c r="H44" s="20">
        <v>0</v>
      </c>
      <c r="I44" s="20">
        <v>0</v>
      </c>
      <c r="J44" s="25">
        <v>14</v>
      </c>
      <c r="K44" s="20">
        <v>3</v>
      </c>
      <c r="L44" s="20">
        <v>0</v>
      </c>
      <c r="M44" s="20">
        <v>0</v>
      </c>
      <c r="N44" s="21">
        <v>33.3333333333333</v>
      </c>
      <c r="O44" s="21">
        <v>60</v>
      </c>
      <c r="P44" s="21">
        <v>33.3333333333333</v>
      </c>
      <c r="Q44" s="21">
        <v>0</v>
      </c>
      <c r="R44" s="21">
        <v>0</v>
      </c>
    </row>
    <row r="45" spans="1:18" s="22" customFormat="1" x14ac:dyDescent="0.45">
      <c r="A45" s="20" t="s">
        <v>93</v>
      </c>
      <c r="B45" s="20">
        <v>51</v>
      </c>
      <c r="C45" s="25">
        <v>18</v>
      </c>
      <c r="D45" s="20">
        <v>2</v>
      </c>
      <c r="E45" s="20">
        <v>2</v>
      </c>
      <c r="F45" s="20">
        <v>1</v>
      </c>
      <c r="G45" s="20">
        <v>0</v>
      </c>
      <c r="H45" s="20">
        <v>0</v>
      </c>
      <c r="I45" s="20">
        <v>0</v>
      </c>
      <c r="J45" s="25">
        <v>14</v>
      </c>
      <c r="K45" s="20">
        <v>1</v>
      </c>
      <c r="L45" s="20">
        <v>0</v>
      </c>
      <c r="M45" s="20">
        <v>0</v>
      </c>
      <c r="N45" s="21">
        <v>11.1111111111111</v>
      </c>
      <c r="O45" s="21">
        <v>100</v>
      </c>
      <c r="P45" s="21">
        <v>50</v>
      </c>
      <c r="Q45" s="21">
        <v>0</v>
      </c>
      <c r="R45" s="21">
        <v>0</v>
      </c>
    </row>
    <row r="46" spans="1:18" s="22" customFormat="1" x14ac:dyDescent="0.45">
      <c r="A46" s="20" t="s">
        <v>94</v>
      </c>
      <c r="B46" s="20">
        <v>23</v>
      </c>
      <c r="C46" s="25">
        <v>10</v>
      </c>
      <c r="D46" s="20">
        <v>3</v>
      </c>
      <c r="E46" s="20">
        <v>2</v>
      </c>
      <c r="F46" s="20">
        <v>6</v>
      </c>
      <c r="G46" s="20">
        <v>2</v>
      </c>
      <c r="H46" s="20">
        <v>0</v>
      </c>
      <c r="I46" s="20">
        <v>0</v>
      </c>
      <c r="J46" s="25">
        <v>11</v>
      </c>
      <c r="K46" s="20">
        <v>9</v>
      </c>
      <c r="L46" s="20">
        <v>0</v>
      </c>
      <c r="M46" s="20">
        <v>0</v>
      </c>
      <c r="N46" s="21">
        <v>30</v>
      </c>
      <c r="O46" s="21">
        <v>66.6666666666667</v>
      </c>
      <c r="P46" s="21">
        <v>300</v>
      </c>
      <c r="Q46" s="21">
        <v>33.3333333333333</v>
      </c>
      <c r="R46" s="21">
        <v>0</v>
      </c>
    </row>
    <row r="47" spans="1:18" s="22" customFormat="1" x14ac:dyDescent="0.45">
      <c r="A47" s="20" t="s">
        <v>95</v>
      </c>
      <c r="B47" s="20">
        <v>23</v>
      </c>
      <c r="C47" s="25">
        <v>10</v>
      </c>
      <c r="D47" s="20">
        <v>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5">
        <v>9</v>
      </c>
      <c r="K47" s="20">
        <v>0</v>
      </c>
      <c r="L47" s="20">
        <v>0</v>
      </c>
      <c r="M47" s="20">
        <v>0</v>
      </c>
      <c r="N47" s="21">
        <v>10</v>
      </c>
      <c r="O47" s="21">
        <v>0</v>
      </c>
      <c r="P47" s="21">
        <v>0</v>
      </c>
      <c r="Q47" s="21">
        <v>0</v>
      </c>
      <c r="R47" s="21">
        <v>0</v>
      </c>
    </row>
    <row r="48" spans="1:18" s="22" customFormat="1" x14ac:dyDescent="0.45">
      <c r="A48" s="20" t="s">
        <v>96</v>
      </c>
      <c r="B48" s="20">
        <v>29</v>
      </c>
      <c r="C48" s="25">
        <v>17</v>
      </c>
      <c r="D48" s="20">
        <v>6</v>
      </c>
      <c r="E48" s="20">
        <v>1</v>
      </c>
      <c r="F48" s="20">
        <v>1</v>
      </c>
      <c r="G48" s="20">
        <v>0</v>
      </c>
      <c r="H48" s="20">
        <v>1</v>
      </c>
      <c r="I48" s="20">
        <v>0</v>
      </c>
      <c r="J48" s="25">
        <v>16</v>
      </c>
      <c r="K48" s="20">
        <v>3</v>
      </c>
      <c r="L48" s="20">
        <v>0</v>
      </c>
      <c r="M48" s="20">
        <v>0</v>
      </c>
      <c r="N48" s="21">
        <v>35.294117647058798</v>
      </c>
      <c r="O48" s="21">
        <v>16.6666666666667</v>
      </c>
      <c r="P48" s="21">
        <v>100</v>
      </c>
      <c r="Q48" s="21">
        <v>0</v>
      </c>
      <c r="R48" s="21">
        <v>0</v>
      </c>
    </row>
    <row r="49" spans="1:20" s="22" customFormat="1" x14ac:dyDescent="0.45">
      <c r="A49" s="20" t="s">
        <v>97</v>
      </c>
      <c r="B49" s="20">
        <v>16</v>
      </c>
      <c r="C49" s="25">
        <v>8</v>
      </c>
      <c r="D49" s="20">
        <v>1</v>
      </c>
      <c r="E49" s="20">
        <v>2</v>
      </c>
      <c r="F49" s="20">
        <v>1</v>
      </c>
      <c r="G49" s="20">
        <v>0</v>
      </c>
      <c r="H49" s="20">
        <v>0</v>
      </c>
      <c r="I49" s="20">
        <v>0</v>
      </c>
      <c r="J49" s="25">
        <v>6</v>
      </c>
      <c r="K49" s="20">
        <v>0</v>
      </c>
      <c r="L49" s="20">
        <v>0</v>
      </c>
      <c r="M49" s="20">
        <v>0</v>
      </c>
      <c r="N49" s="21">
        <v>12.5</v>
      </c>
      <c r="O49" s="21">
        <v>200</v>
      </c>
      <c r="P49" s="21">
        <v>50</v>
      </c>
      <c r="Q49" s="21">
        <v>0</v>
      </c>
      <c r="R49" s="21">
        <v>0</v>
      </c>
    </row>
    <row r="50" spans="1:20" s="22" customFormat="1" x14ac:dyDescent="0.45">
      <c r="A50" s="20" t="s">
        <v>98</v>
      </c>
      <c r="B50" s="20">
        <v>22</v>
      </c>
      <c r="C50" s="25">
        <v>9</v>
      </c>
      <c r="D50" s="20">
        <v>1</v>
      </c>
      <c r="E50" s="20">
        <v>1</v>
      </c>
      <c r="F50" s="20">
        <v>1</v>
      </c>
      <c r="G50" s="20">
        <v>1</v>
      </c>
      <c r="H50" s="20">
        <v>1</v>
      </c>
      <c r="I50" s="20">
        <v>0</v>
      </c>
      <c r="J50" s="25">
        <v>5</v>
      </c>
      <c r="K50" s="20">
        <v>2</v>
      </c>
      <c r="L50" s="20">
        <v>0</v>
      </c>
      <c r="M50" s="20">
        <v>0</v>
      </c>
      <c r="N50" s="21">
        <v>11.1111111111111</v>
      </c>
      <c r="O50" s="21">
        <v>100</v>
      </c>
      <c r="P50" s="21">
        <v>100</v>
      </c>
      <c r="Q50" s="21">
        <v>100</v>
      </c>
      <c r="R50" s="21">
        <v>100</v>
      </c>
    </row>
    <row r="51" spans="1:20" s="22" customFormat="1" x14ac:dyDescent="0.45">
      <c r="A51" s="20" t="s">
        <v>99</v>
      </c>
      <c r="B51" s="20">
        <v>19</v>
      </c>
      <c r="C51" s="25">
        <v>7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5">
        <v>5</v>
      </c>
      <c r="K51" s="20">
        <v>1</v>
      </c>
      <c r="L51" s="20">
        <v>0</v>
      </c>
      <c r="M51" s="20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</row>
    <row r="52" spans="1:20" s="22" customFormat="1" x14ac:dyDescent="0.45">
      <c r="A52" s="20" t="s">
        <v>100</v>
      </c>
      <c r="B52" s="20">
        <v>12</v>
      </c>
      <c r="C52" s="25">
        <v>9</v>
      </c>
      <c r="D52" s="20">
        <v>3</v>
      </c>
      <c r="E52" s="20">
        <v>1</v>
      </c>
      <c r="F52" s="20">
        <v>1</v>
      </c>
      <c r="G52" s="20">
        <v>1</v>
      </c>
      <c r="H52" s="20">
        <v>0</v>
      </c>
      <c r="I52" s="20">
        <v>0</v>
      </c>
      <c r="J52" s="25">
        <v>5</v>
      </c>
      <c r="K52" s="20">
        <v>1</v>
      </c>
      <c r="L52" s="20">
        <v>0</v>
      </c>
      <c r="M52" s="20">
        <v>0</v>
      </c>
      <c r="N52" s="21">
        <v>33.3333333333333</v>
      </c>
      <c r="O52" s="21">
        <v>33.3333333333333</v>
      </c>
      <c r="P52" s="21">
        <v>100</v>
      </c>
      <c r="Q52" s="21">
        <v>100</v>
      </c>
      <c r="R52" s="21">
        <v>0</v>
      </c>
    </row>
    <row r="53" spans="1:20" s="22" customFormat="1" x14ac:dyDescent="0.45">
      <c r="A53" s="20" t="s">
        <v>101</v>
      </c>
      <c r="B53" s="20">
        <v>15</v>
      </c>
      <c r="C53" s="25">
        <v>6</v>
      </c>
      <c r="D53" s="20">
        <v>2</v>
      </c>
      <c r="E53" s="20">
        <v>3</v>
      </c>
      <c r="F53" s="20">
        <v>2</v>
      </c>
      <c r="G53" s="20">
        <v>1</v>
      </c>
      <c r="H53" s="20">
        <v>0</v>
      </c>
      <c r="I53" s="20">
        <v>0</v>
      </c>
      <c r="J53" s="25">
        <v>8</v>
      </c>
      <c r="K53" s="20">
        <v>3</v>
      </c>
      <c r="L53" s="20">
        <v>0</v>
      </c>
      <c r="M53" s="20">
        <v>0</v>
      </c>
      <c r="N53" s="21">
        <v>33.3333333333333</v>
      </c>
      <c r="O53" s="21">
        <v>150</v>
      </c>
      <c r="P53" s="21">
        <v>66.6666666666667</v>
      </c>
      <c r="Q53" s="21">
        <v>50</v>
      </c>
      <c r="R53" s="21">
        <v>0</v>
      </c>
    </row>
    <row r="54" spans="1:20" s="22" customFormat="1" x14ac:dyDescent="0.45">
      <c r="A54" s="20" t="s">
        <v>102</v>
      </c>
      <c r="B54" s="20">
        <v>13</v>
      </c>
      <c r="C54" s="25">
        <v>6</v>
      </c>
      <c r="D54" s="20">
        <v>2</v>
      </c>
      <c r="E54" s="20">
        <v>1</v>
      </c>
      <c r="F54" s="20">
        <v>2</v>
      </c>
      <c r="G54" s="20">
        <v>2</v>
      </c>
      <c r="H54" s="20">
        <v>0</v>
      </c>
      <c r="I54" s="20">
        <v>0</v>
      </c>
      <c r="J54" s="25">
        <v>10</v>
      </c>
      <c r="K54" s="20">
        <v>2</v>
      </c>
      <c r="L54" s="20">
        <v>0</v>
      </c>
      <c r="M54" s="20">
        <v>0</v>
      </c>
      <c r="N54" s="21">
        <v>33.3333333333333</v>
      </c>
      <c r="O54" s="21">
        <v>50</v>
      </c>
      <c r="P54" s="21">
        <v>200</v>
      </c>
      <c r="Q54" s="21">
        <v>100</v>
      </c>
      <c r="R54" s="21">
        <v>0</v>
      </c>
    </row>
    <row r="55" spans="1:20" s="22" customFormat="1" x14ac:dyDescent="0.45">
      <c r="A55" s="20" t="s">
        <v>103</v>
      </c>
      <c r="B55" s="20">
        <v>19</v>
      </c>
      <c r="C55" s="25">
        <v>8</v>
      </c>
      <c r="D55" s="20">
        <v>3</v>
      </c>
      <c r="E55" s="20">
        <v>1</v>
      </c>
      <c r="F55" s="20">
        <v>0</v>
      </c>
      <c r="G55" s="20">
        <v>0</v>
      </c>
      <c r="H55" s="20">
        <v>0</v>
      </c>
      <c r="I55" s="20">
        <v>0</v>
      </c>
      <c r="J55" s="25">
        <v>9</v>
      </c>
      <c r="K55" s="20">
        <v>1</v>
      </c>
      <c r="L55" s="20">
        <v>0</v>
      </c>
      <c r="M55" s="20">
        <v>0</v>
      </c>
      <c r="N55" s="21">
        <v>37.5</v>
      </c>
      <c r="O55" s="21">
        <v>33.3333333333333</v>
      </c>
      <c r="P55" s="21">
        <v>0</v>
      </c>
      <c r="Q55" s="21">
        <v>0</v>
      </c>
      <c r="R55" s="21">
        <v>0</v>
      </c>
    </row>
    <row r="56" spans="1:20" s="22" customFormat="1" x14ac:dyDescent="0.45">
      <c r="A56" s="20" t="s">
        <v>104</v>
      </c>
      <c r="B56" s="20">
        <v>25</v>
      </c>
      <c r="C56" s="25">
        <v>11</v>
      </c>
      <c r="D56" s="20">
        <v>9</v>
      </c>
      <c r="E56" s="20">
        <v>7</v>
      </c>
      <c r="F56" s="20">
        <v>4</v>
      </c>
      <c r="G56" s="20">
        <v>1</v>
      </c>
      <c r="H56" s="20">
        <v>0</v>
      </c>
      <c r="I56" s="20">
        <v>0</v>
      </c>
      <c r="J56" s="25">
        <v>21</v>
      </c>
      <c r="K56" s="20">
        <v>4</v>
      </c>
      <c r="L56" s="20">
        <v>0</v>
      </c>
      <c r="M56" s="20">
        <v>0</v>
      </c>
      <c r="N56" s="21">
        <v>81.818181818181799</v>
      </c>
      <c r="O56" s="21">
        <v>77.7777777777778</v>
      </c>
      <c r="P56" s="21">
        <v>57.142857142857103</v>
      </c>
      <c r="Q56" s="21">
        <v>25</v>
      </c>
      <c r="R56" s="21">
        <v>0</v>
      </c>
    </row>
    <row r="57" spans="1:20" s="22" customFormat="1" x14ac:dyDescent="0.45">
      <c r="A57" s="20" t="s">
        <v>105</v>
      </c>
      <c r="B57" s="20">
        <v>66</v>
      </c>
      <c r="C57" s="25">
        <v>33</v>
      </c>
      <c r="D57" s="20">
        <v>11</v>
      </c>
      <c r="E57" s="20">
        <v>5</v>
      </c>
      <c r="F57" s="20">
        <v>6</v>
      </c>
      <c r="G57" s="20">
        <v>1</v>
      </c>
      <c r="H57" s="20">
        <v>0</v>
      </c>
      <c r="I57" s="20">
        <v>0</v>
      </c>
      <c r="J57" s="25">
        <v>22</v>
      </c>
      <c r="K57" s="20">
        <v>10</v>
      </c>
      <c r="L57" s="20">
        <v>0</v>
      </c>
      <c r="M57" s="20">
        <v>0</v>
      </c>
      <c r="N57" s="21">
        <v>33.3333333333333</v>
      </c>
      <c r="O57" s="21">
        <v>45.454545454545503</v>
      </c>
      <c r="P57" s="21">
        <v>120</v>
      </c>
      <c r="Q57" s="21">
        <v>16.6666666666667</v>
      </c>
      <c r="R57" s="21">
        <v>0</v>
      </c>
    </row>
    <row r="58" spans="1:20" s="22" customFormat="1" x14ac:dyDescent="0.45">
      <c r="A58" s="20" t="s">
        <v>106</v>
      </c>
      <c r="B58" s="20">
        <v>55</v>
      </c>
      <c r="C58" s="25">
        <v>30</v>
      </c>
      <c r="D58" s="20">
        <v>14</v>
      </c>
      <c r="E58" s="20">
        <v>6</v>
      </c>
      <c r="F58" s="20">
        <v>10</v>
      </c>
      <c r="G58" s="20">
        <v>1</v>
      </c>
      <c r="H58" s="20">
        <v>0</v>
      </c>
      <c r="I58" s="20">
        <v>0</v>
      </c>
      <c r="J58" s="25">
        <v>20</v>
      </c>
      <c r="K58" s="20">
        <v>13</v>
      </c>
      <c r="L58" s="20">
        <v>0</v>
      </c>
      <c r="M58" s="20">
        <v>0</v>
      </c>
      <c r="N58" s="21">
        <v>46.6666666666667</v>
      </c>
      <c r="O58" s="21">
        <v>42.857142857142897</v>
      </c>
      <c r="P58" s="21">
        <v>166.666666666667</v>
      </c>
      <c r="Q58" s="21">
        <v>10</v>
      </c>
      <c r="R58" s="21">
        <v>0</v>
      </c>
    </row>
    <row r="59" spans="1:20" s="22" customFormat="1" x14ac:dyDescent="0.45">
      <c r="A59" s="20" t="s">
        <v>107</v>
      </c>
      <c r="B59" s="20">
        <v>26</v>
      </c>
      <c r="C59" s="25">
        <v>19</v>
      </c>
      <c r="D59" s="20">
        <v>5</v>
      </c>
      <c r="E59" s="20">
        <v>0</v>
      </c>
      <c r="F59" s="20">
        <v>3</v>
      </c>
      <c r="G59" s="20">
        <v>1</v>
      </c>
      <c r="H59" s="20">
        <v>0</v>
      </c>
      <c r="I59" s="20">
        <v>0</v>
      </c>
      <c r="J59" s="25">
        <v>16</v>
      </c>
      <c r="K59" s="20">
        <v>4</v>
      </c>
      <c r="L59" s="20">
        <v>0</v>
      </c>
      <c r="M59" s="20">
        <v>0</v>
      </c>
      <c r="N59" s="21">
        <v>26.315789473684202</v>
      </c>
      <c r="O59" s="21">
        <v>0</v>
      </c>
      <c r="P59" s="21">
        <v>0</v>
      </c>
      <c r="Q59" s="21">
        <v>33.3333333333333</v>
      </c>
      <c r="R59" s="21">
        <v>0</v>
      </c>
    </row>
    <row r="60" spans="1:20" s="22" customFormat="1" x14ac:dyDescent="0.45">
      <c r="A60" s="20" t="s">
        <v>108</v>
      </c>
      <c r="B60" s="20">
        <v>21</v>
      </c>
      <c r="C60" s="25">
        <v>12</v>
      </c>
      <c r="D60" s="20">
        <v>5</v>
      </c>
      <c r="E60" s="20">
        <v>0</v>
      </c>
      <c r="F60" s="20">
        <v>3</v>
      </c>
      <c r="G60" s="20">
        <v>0</v>
      </c>
      <c r="H60" s="20">
        <v>0</v>
      </c>
      <c r="I60" s="20">
        <v>0</v>
      </c>
      <c r="J60" s="25">
        <v>12</v>
      </c>
      <c r="K60" s="20">
        <v>4</v>
      </c>
      <c r="L60" s="20">
        <v>0</v>
      </c>
      <c r="M60" s="20">
        <v>0</v>
      </c>
      <c r="N60" s="21">
        <v>41.6666666666667</v>
      </c>
      <c r="O60" s="21">
        <v>0</v>
      </c>
      <c r="P60" s="21">
        <v>0</v>
      </c>
      <c r="Q60" s="21">
        <v>0</v>
      </c>
      <c r="R60" s="21">
        <v>0</v>
      </c>
    </row>
    <row r="61" spans="1:20" s="22" customFormat="1" x14ac:dyDescent="0.45">
      <c r="A61" s="20" t="s">
        <v>109</v>
      </c>
      <c r="B61" s="20">
        <v>56</v>
      </c>
      <c r="C61" s="25">
        <v>31</v>
      </c>
      <c r="D61" s="20">
        <v>15</v>
      </c>
      <c r="E61" s="20">
        <v>3</v>
      </c>
      <c r="F61" s="20">
        <v>5</v>
      </c>
      <c r="G61" s="20">
        <v>1</v>
      </c>
      <c r="H61" s="20">
        <v>1</v>
      </c>
      <c r="I61" s="20">
        <v>0</v>
      </c>
      <c r="J61" s="25">
        <v>22</v>
      </c>
      <c r="K61" s="20">
        <v>8</v>
      </c>
      <c r="L61" s="20">
        <v>0</v>
      </c>
      <c r="M61" s="20">
        <v>0</v>
      </c>
      <c r="N61" s="21">
        <v>48.387096774193601</v>
      </c>
      <c r="O61" s="21">
        <v>20</v>
      </c>
      <c r="P61" s="21">
        <v>166.666666666667</v>
      </c>
      <c r="Q61" s="21">
        <v>20</v>
      </c>
      <c r="R61" s="21">
        <v>100</v>
      </c>
      <c r="T61" s="22">
        <f>SUM(C34:C61)</f>
        <v>1146</v>
      </c>
    </row>
    <row r="62" spans="1:20" x14ac:dyDescent="0.45">
      <c r="A62" s="12" t="s">
        <v>110</v>
      </c>
      <c r="B62" s="12">
        <v>62</v>
      </c>
      <c r="C62" s="24">
        <v>44</v>
      </c>
      <c r="D62" s="12">
        <v>13</v>
      </c>
      <c r="E62" s="12">
        <v>6</v>
      </c>
      <c r="F62" s="12">
        <v>1</v>
      </c>
      <c r="G62" s="12">
        <v>0</v>
      </c>
      <c r="H62" s="12">
        <v>0</v>
      </c>
      <c r="I62" s="12">
        <v>0</v>
      </c>
      <c r="J62" s="24">
        <v>20</v>
      </c>
      <c r="K62" s="12">
        <v>3</v>
      </c>
      <c r="L62" s="12">
        <v>0</v>
      </c>
      <c r="M62" s="12">
        <v>0</v>
      </c>
      <c r="N62" s="13">
        <v>29.545454545454501</v>
      </c>
      <c r="O62" s="13">
        <v>46.153846153846203</v>
      </c>
      <c r="P62" s="13">
        <v>16.6666666666667</v>
      </c>
      <c r="Q62" s="13">
        <v>0</v>
      </c>
      <c r="R62" s="13">
        <v>0</v>
      </c>
    </row>
    <row r="63" spans="1:20" x14ac:dyDescent="0.45">
      <c r="A63" s="12" t="s">
        <v>111</v>
      </c>
      <c r="B63" s="12">
        <v>103</v>
      </c>
      <c r="C63" s="24">
        <v>65</v>
      </c>
      <c r="D63" s="12">
        <v>24</v>
      </c>
      <c r="E63" s="12">
        <v>10</v>
      </c>
      <c r="F63" s="12">
        <v>6</v>
      </c>
      <c r="G63" s="12">
        <v>2</v>
      </c>
      <c r="H63" s="12">
        <v>0</v>
      </c>
      <c r="I63" s="12">
        <v>0</v>
      </c>
      <c r="J63" s="24">
        <v>38</v>
      </c>
      <c r="K63" s="12">
        <v>8</v>
      </c>
      <c r="L63" s="12">
        <v>0</v>
      </c>
      <c r="M63" s="12">
        <v>0</v>
      </c>
      <c r="N63" s="13">
        <v>36.923076923076898</v>
      </c>
      <c r="O63" s="13">
        <v>41.6666666666667</v>
      </c>
      <c r="P63" s="13">
        <v>60</v>
      </c>
      <c r="Q63" s="13">
        <v>33.3333333333333</v>
      </c>
      <c r="R63" s="13">
        <v>0</v>
      </c>
    </row>
    <row r="64" spans="1:20" x14ac:dyDescent="0.45">
      <c r="A64" s="12" t="s">
        <v>112</v>
      </c>
      <c r="B64" s="12">
        <v>109</v>
      </c>
      <c r="C64" s="24">
        <v>60</v>
      </c>
      <c r="D64" s="12">
        <v>27</v>
      </c>
      <c r="E64" s="12">
        <v>11</v>
      </c>
      <c r="F64" s="12">
        <v>11</v>
      </c>
      <c r="G64" s="12">
        <v>2</v>
      </c>
      <c r="H64" s="12">
        <v>1</v>
      </c>
      <c r="I64" s="12">
        <v>0</v>
      </c>
      <c r="J64" s="24">
        <v>36</v>
      </c>
      <c r="K64" s="12">
        <v>16</v>
      </c>
      <c r="L64" s="12">
        <v>0</v>
      </c>
      <c r="M64" s="12">
        <v>0</v>
      </c>
      <c r="N64" s="13">
        <v>45</v>
      </c>
      <c r="O64" s="13">
        <v>40.740740740740698</v>
      </c>
      <c r="P64" s="13">
        <v>100</v>
      </c>
      <c r="Q64" s="13">
        <v>18.181818181818201</v>
      </c>
      <c r="R64" s="13">
        <v>50</v>
      </c>
    </row>
    <row r="65" spans="1:18" x14ac:dyDescent="0.45">
      <c r="A65" s="12" t="s">
        <v>113</v>
      </c>
      <c r="B65" s="12">
        <v>57</v>
      </c>
      <c r="C65" s="24">
        <v>24</v>
      </c>
      <c r="D65" s="12">
        <v>11</v>
      </c>
      <c r="E65" s="12">
        <v>2</v>
      </c>
      <c r="F65" s="12">
        <v>4</v>
      </c>
      <c r="G65" s="12">
        <v>3</v>
      </c>
      <c r="H65" s="12">
        <v>0</v>
      </c>
      <c r="I65" s="12">
        <v>0</v>
      </c>
      <c r="J65" s="24">
        <v>26</v>
      </c>
      <c r="K65" s="12">
        <v>8</v>
      </c>
      <c r="L65" s="12">
        <v>0</v>
      </c>
      <c r="M65" s="12">
        <v>0</v>
      </c>
      <c r="N65" s="13">
        <v>45.8333333333333</v>
      </c>
      <c r="O65" s="13">
        <v>18.181818181818201</v>
      </c>
      <c r="P65" s="13">
        <v>200</v>
      </c>
      <c r="Q65" s="13">
        <v>75</v>
      </c>
      <c r="R65" s="13">
        <v>0</v>
      </c>
    </row>
    <row r="66" spans="1:18" x14ac:dyDescent="0.45">
      <c r="A66" s="12" t="s">
        <v>114</v>
      </c>
      <c r="B66" s="12">
        <v>53</v>
      </c>
      <c r="C66" s="24">
        <v>37</v>
      </c>
      <c r="D66" s="12">
        <v>20</v>
      </c>
      <c r="E66" s="12">
        <v>8</v>
      </c>
      <c r="F66" s="12">
        <v>14</v>
      </c>
      <c r="G66" s="12">
        <v>1</v>
      </c>
      <c r="H66" s="12">
        <v>0</v>
      </c>
      <c r="I66" s="12">
        <v>0</v>
      </c>
      <c r="J66" s="24">
        <v>34</v>
      </c>
      <c r="K66" s="12">
        <v>15</v>
      </c>
      <c r="L66" s="12">
        <v>0</v>
      </c>
      <c r="M66" s="12">
        <v>0</v>
      </c>
      <c r="N66" s="13">
        <v>54.054054054054099</v>
      </c>
      <c r="O66" s="13">
        <v>40</v>
      </c>
      <c r="P66" s="13">
        <v>175</v>
      </c>
      <c r="Q66" s="13">
        <v>7.1428571428571397</v>
      </c>
      <c r="R66" s="13">
        <v>0</v>
      </c>
    </row>
    <row r="67" spans="1:18" x14ac:dyDescent="0.45">
      <c r="A67" s="12" t="s">
        <v>115</v>
      </c>
      <c r="B67" s="12">
        <v>62</v>
      </c>
      <c r="C67" s="24">
        <v>30</v>
      </c>
      <c r="D67" s="12">
        <v>6</v>
      </c>
      <c r="E67" s="12">
        <v>2</v>
      </c>
      <c r="F67" s="12">
        <v>5</v>
      </c>
      <c r="G67" s="12">
        <v>0</v>
      </c>
      <c r="H67" s="12">
        <v>0</v>
      </c>
      <c r="I67" s="12">
        <v>0</v>
      </c>
      <c r="J67" s="24">
        <v>24</v>
      </c>
      <c r="K67" s="12">
        <v>6</v>
      </c>
      <c r="L67" s="12">
        <v>0</v>
      </c>
      <c r="M67" s="12">
        <v>0</v>
      </c>
      <c r="N67" s="13">
        <v>20</v>
      </c>
      <c r="O67" s="13">
        <v>33.3333333333333</v>
      </c>
      <c r="P67" s="13">
        <v>250</v>
      </c>
      <c r="Q67" s="13">
        <v>0</v>
      </c>
      <c r="R67" s="13">
        <v>0</v>
      </c>
    </row>
    <row r="68" spans="1:18" x14ac:dyDescent="0.45">
      <c r="A68" s="12" t="s">
        <v>116</v>
      </c>
      <c r="B68" s="12">
        <v>32</v>
      </c>
      <c r="C68" s="24">
        <v>15</v>
      </c>
      <c r="D68" s="12">
        <v>4</v>
      </c>
      <c r="E68" s="12">
        <v>4</v>
      </c>
      <c r="F68" s="12">
        <v>1</v>
      </c>
      <c r="G68" s="12">
        <v>0</v>
      </c>
      <c r="H68" s="12">
        <v>0</v>
      </c>
      <c r="I68" s="12">
        <v>0</v>
      </c>
      <c r="J68" s="24">
        <v>16</v>
      </c>
      <c r="K68" s="12">
        <v>3</v>
      </c>
      <c r="L68" s="12">
        <v>0</v>
      </c>
      <c r="M68" s="12">
        <v>0</v>
      </c>
      <c r="N68" s="13">
        <v>26.6666666666667</v>
      </c>
      <c r="O68" s="13">
        <v>100</v>
      </c>
      <c r="P68" s="13">
        <v>25</v>
      </c>
      <c r="Q68" s="13">
        <v>0</v>
      </c>
      <c r="R68" s="13">
        <v>0</v>
      </c>
    </row>
    <row r="69" spans="1:18" x14ac:dyDescent="0.45">
      <c r="A69" s="12" t="s">
        <v>117</v>
      </c>
      <c r="B69" s="12">
        <v>22</v>
      </c>
      <c r="C69" s="24">
        <v>19</v>
      </c>
      <c r="D69" s="12">
        <v>6</v>
      </c>
      <c r="E69" s="12">
        <v>3</v>
      </c>
      <c r="F69" s="12">
        <v>2</v>
      </c>
      <c r="G69" s="12">
        <v>0</v>
      </c>
      <c r="H69" s="12">
        <v>0</v>
      </c>
      <c r="I69" s="12">
        <v>0</v>
      </c>
      <c r="J69" s="24">
        <v>12</v>
      </c>
      <c r="K69" s="12">
        <v>5</v>
      </c>
      <c r="L69" s="12">
        <v>0</v>
      </c>
      <c r="M69" s="12">
        <v>0</v>
      </c>
      <c r="N69" s="13">
        <v>31.578947368421101</v>
      </c>
      <c r="O69" s="13">
        <v>50</v>
      </c>
      <c r="P69" s="13">
        <v>66.6666666666667</v>
      </c>
      <c r="Q69" s="13">
        <v>0</v>
      </c>
      <c r="R69" s="13">
        <v>0</v>
      </c>
    </row>
    <row r="70" spans="1:18" x14ac:dyDescent="0.45">
      <c r="A70" s="12" t="s">
        <v>118</v>
      </c>
      <c r="B70" s="12">
        <v>29</v>
      </c>
      <c r="C70" s="24">
        <v>20</v>
      </c>
      <c r="D70" s="12">
        <v>7</v>
      </c>
      <c r="E70" s="12">
        <v>5</v>
      </c>
      <c r="F70" s="12">
        <v>3</v>
      </c>
      <c r="G70" s="12">
        <v>0</v>
      </c>
      <c r="H70" s="12">
        <v>0</v>
      </c>
      <c r="I70" s="12">
        <v>0</v>
      </c>
      <c r="J70" s="24">
        <v>18</v>
      </c>
      <c r="K70" s="12">
        <v>1</v>
      </c>
      <c r="L70" s="12">
        <v>0</v>
      </c>
      <c r="M70" s="12">
        <v>0</v>
      </c>
      <c r="N70" s="13">
        <v>35</v>
      </c>
      <c r="O70" s="13">
        <v>71.428571428571402</v>
      </c>
      <c r="P70" s="13">
        <v>60</v>
      </c>
      <c r="Q70" s="13">
        <v>0</v>
      </c>
      <c r="R70" s="13">
        <v>0</v>
      </c>
    </row>
    <row r="71" spans="1:18" x14ac:dyDescent="0.45">
      <c r="A71" s="12" t="s">
        <v>119</v>
      </c>
      <c r="B71" s="12">
        <v>26</v>
      </c>
      <c r="C71" s="24">
        <v>21</v>
      </c>
      <c r="D71" s="12">
        <v>11</v>
      </c>
      <c r="E71" s="12">
        <v>11</v>
      </c>
      <c r="F71" s="12">
        <v>7</v>
      </c>
      <c r="G71" s="12">
        <v>0</v>
      </c>
      <c r="H71" s="12">
        <v>0</v>
      </c>
      <c r="I71" s="12">
        <v>0</v>
      </c>
      <c r="J71" s="24">
        <v>21</v>
      </c>
      <c r="K71" s="12">
        <v>8</v>
      </c>
      <c r="L71" s="12">
        <v>0</v>
      </c>
      <c r="M71" s="12">
        <v>0</v>
      </c>
      <c r="N71" s="13">
        <v>52.380952380952401</v>
      </c>
      <c r="O71" s="13">
        <v>100</v>
      </c>
      <c r="P71" s="13">
        <v>63.636363636363598</v>
      </c>
      <c r="Q71" s="13">
        <v>0</v>
      </c>
      <c r="R71" s="13">
        <v>0</v>
      </c>
    </row>
    <row r="72" spans="1:18" x14ac:dyDescent="0.45">
      <c r="A72" s="12" t="s">
        <v>120</v>
      </c>
      <c r="B72" s="12">
        <v>38</v>
      </c>
      <c r="C72" s="24">
        <v>16</v>
      </c>
      <c r="D72" s="12">
        <v>5</v>
      </c>
      <c r="E72" s="12">
        <v>2</v>
      </c>
      <c r="F72" s="12">
        <v>0</v>
      </c>
      <c r="G72" s="12">
        <v>1</v>
      </c>
      <c r="H72" s="12">
        <v>0</v>
      </c>
      <c r="I72" s="12">
        <v>0</v>
      </c>
      <c r="J72" s="24">
        <v>16</v>
      </c>
      <c r="K72" s="12">
        <v>1</v>
      </c>
      <c r="L72" s="12">
        <v>1</v>
      </c>
      <c r="M72" s="12">
        <v>0</v>
      </c>
      <c r="N72" s="13">
        <v>31.25</v>
      </c>
      <c r="O72" s="13">
        <v>40</v>
      </c>
      <c r="P72" s="13">
        <v>0</v>
      </c>
      <c r="Q72" s="13">
        <v>0</v>
      </c>
      <c r="R72" s="13">
        <v>0</v>
      </c>
    </row>
    <row r="73" spans="1:18" x14ac:dyDescent="0.45">
      <c r="A73" s="12" t="s">
        <v>121</v>
      </c>
      <c r="B73" s="12">
        <v>52</v>
      </c>
      <c r="C73" s="24">
        <v>40</v>
      </c>
      <c r="D73" s="12">
        <v>20</v>
      </c>
      <c r="E73" s="12">
        <v>15</v>
      </c>
      <c r="F73" s="12">
        <v>4</v>
      </c>
      <c r="G73" s="12">
        <v>0</v>
      </c>
      <c r="H73" s="12">
        <v>0</v>
      </c>
      <c r="I73" s="12">
        <v>0</v>
      </c>
      <c r="J73" s="24">
        <v>32</v>
      </c>
      <c r="K73" s="12">
        <v>5</v>
      </c>
      <c r="L73" s="12">
        <v>0</v>
      </c>
      <c r="M73" s="12">
        <v>0</v>
      </c>
      <c r="N73" s="13">
        <v>50</v>
      </c>
      <c r="O73" s="13">
        <v>75</v>
      </c>
      <c r="P73" s="13">
        <v>26.6666666666667</v>
      </c>
      <c r="Q73" s="13">
        <v>0</v>
      </c>
      <c r="R73" s="13">
        <v>0</v>
      </c>
    </row>
    <row r="74" spans="1:18" x14ac:dyDescent="0.45">
      <c r="A74" s="12" t="s">
        <v>122</v>
      </c>
      <c r="B74" s="12">
        <v>33</v>
      </c>
      <c r="C74" s="24">
        <v>23</v>
      </c>
      <c r="D74" s="12">
        <v>6</v>
      </c>
      <c r="E74" s="12">
        <v>4</v>
      </c>
      <c r="F74" s="12">
        <v>3</v>
      </c>
      <c r="G74" s="12">
        <v>1</v>
      </c>
      <c r="H74" s="12">
        <v>0</v>
      </c>
      <c r="I74" s="12">
        <v>0</v>
      </c>
      <c r="J74" s="24">
        <v>18</v>
      </c>
      <c r="K74" s="12">
        <v>1</v>
      </c>
      <c r="L74" s="12">
        <v>0</v>
      </c>
      <c r="M74" s="12">
        <v>0</v>
      </c>
      <c r="N74" s="13">
        <v>26.086956521739101</v>
      </c>
      <c r="O74" s="13">
        <v>66.6666666666667</v>
      </c>
      <c r="P74" s="13">
        <v>75</v>
      </c>
      <c r="Q74" s="13">
        <v>33.3333333333333</v>
      </c>
      <c r="R74" s="13">
        <v>0</v>
      </c>
    </row>
    <row r="75" spans="1:18" x14ac:dyDescent="0.45">
      <c r="A75" s="12" t="s">
        <v>123</v>
      </c>
      <c r="B75" s="12">
        <v>17</v>
      </c>
      <c r="C75" s="24">
        <v>9</v>
      </c>
      <c r="D75" s="12">
        <v>6</v>
      </c>
      <c r="E75" s="12">
        <v>1</v>
      </c>
      <c r="F75" s="12">
        <v>1</v>
      </c>
      <c r="G75" s="12">
        <v>0</v>
      </c>
      <c r="H75" s="12">
        <v>1</v>
      </c>
      <c r="I75" s="12">
        <v>0</v>
      </c>
      <c r="J75" s="24">
        <v>17</v>
      </c>
      <c r="K75" s="12">
        <v>6</v>
      </c>
      <c r="L75" s="12">
        <v>0</v>
      </c>
      <c r="M75" s="12">
        <v>0</v>
      </c>
      <c r="N75" s="13">
        <v>66.6666666666667</v>
      </c>
      <c r="O75" s="13">
        <v>16.6666666666667</v>
      </c>
      <c r="P75" s="13">
        <v>100</v>
      </c>
      <c r="Q75" s="13">
        <v>0</v>
      </c>
      <c r="R75" s="13">
        <v>0</v>
      </c>
    </row>
    <row r="76" spans="1:18" x14ac:dyDescent="0.45">
      <c r="A76" s="12" t="s">
        <v>124</v>
      </c>
      <c r="B76" s="12">
        <v>34</v>
      </c>
      <c r="C76" s="24">
        <v>26</v>
      </c>
      <c r="D76" s="12">
        <v>9</v>
      </c>
      <c r="E76" s="12">
        <v>4</v>
      </c>
      <c r="F76" s="12">
        <v>5</v>
      </c>
      <c r="G76" s="12">
        <v>2</v>
      </c>
      <c r="H76" s="12">
        <v>0</v>
      </c>
      <c r="I76" s="12">
        <v>0</v>
      </c>
      <c r="J76" s="24">
        <v>21</v>
      </c>
      <c r="K76" s="12">
        <v>3</v>
      </c>
      <c r="L76" s="12">
        <v>0</v>
      </c>
      <c r="M76" s="12">
        <v>0</v>
      </c>
      <c r="N76" s="13">
        <v>34.615384615384599</v>
      </c>
      <c r="O76" s="13">
        <v>44.4444444444444</v>
      </c>
      <c r="P76" s="13">
        <v>125</v>
      </c>
      <c r="Q76" s="13">
        <v>40</v>
      </c>
      <c r="R76" s="13">
        <v>0</v>
      </c>
    </row>
    <row r="77" spans="1:18" x14ac:dyDescent="0.45">
      <c r="A77" s="12" t="s">
        <v>125</v>
      </c>
      <c r="B77" s="12">
        <v>656</v>
      </c>
      <c r="C77" s="24">
        <v>348</v>
      </c>
      <c r="D77" s="12">
        <v>77</v>
      </c>
      <c r="E77" s="12">
        <v>59</v>
      </c>
      <c r="F77" s="12">
        <v>22</v>
      </c>
      <c r="G77" s="12">
        <v>4</v>
      </c>
      <c r="H77" s="12">
        <v>0</v>
      </c>
      <c r="I77" s="12">
        <v>0</v>
      </c>
      <c r="J77" s="24">
        <v>101</v>
      </c>
      <c r="K77" s="12">
        <v>27</v>
      </c>
      <c r="L77" s="12">
        <v>0</v>
      </c>
      <c r="M77" s="12">
        <v>0</v>
      </c>
      <c r="N77" s="13">
        <v>22.1264367816092</v>
      </c>
      <c r="O77" s="13">
        <v>76.6233766233766</v>
      </c>
      <c r="P77" s="13">
        <v>37.288135593220296</v>
      </c>
      <c r="Q77" s="13">
        <v>18.181818181818201</v>
      </c>
      <c r="R77" s="13">
        <v>0</v>
      </c>
    </row>
    <row r="78" spans="1:18" x14ac:dyDescent="0.45">
      <c r="A78" s="12" t="s">
        <v>126</v>
      </c>
      <c r="B78" s="12">
        <v>275</v>
      </c>
      <c r="C78" s="24">
        <v>126</v>
      </c>
      <c r="D78" s="12">
        <v>37</v>
      </c>
      <c r="E78" s="12">
        <v>22</v>
      </c>
      <c r="F78" s="12">
        <v>13</v>
      </c>
      <c r="G78" s="12">
        <v>2</v>
      </c>
      <c r="H78" s="12">
        <v>0</v>
      </c>
      <c r="I78" s="12">
        <v>0</v>
      </c>
      <c r="J78" s="24">
        <v>54</v>
      </c>
      <c r="K78" s="12">
        <v>14</v>
      </c>
      <c r="L78" s="12">
        <v>0</v>
      </c>
      <c r="M78" s="12">
        <v>0</v>
      </c>
      <c r="N78" s="13">
        <v>29.365079365079399</v>
      </c>
      <c r="O78" s="13">
        <v>59.459459459459502</v>
      </c>
      <c r="P78" s="13">
        <v>59.090909090909101</v>
      </c>
      <c r="Q78" s="13">
        <v>15.384615384615399</v>
      </c>
      <c r="R78" s="13">
        <v>0</v>
      </c>
    </row>
    <row r="79" spans="1:18" x14ac:dyDescent="0.45">
      <c r="A79" s="12" t="s">
        <v>127</v>
      </c>
      <c r="B79" s="12">
        <v>60</v>
      </c>
      <c r="C79" s="24">
        <v>39</v>
      </c>
      <c r="D79" s="12">
        <v>10</v>
      </c>
      <c r="E79" s="12">
        <v>4</v>
      </c>
      <c r="F79" s="12">
        <v>4</v>
      </c>
      <c r="G79" s="12">
        <v>0</v>
      </c>
      <c r="H79" s="12">
        <v>1</v>
      </c>
      <c r="I79" s="12">
        <v>0</v>
      </c>
      <c r="J79" s="24">
        <v>43</v>
      </c>
      <c r="K79" s="12">
        <v>12</v>
      </c>
      <c r="L79" s="12">
        <v>1</v>
      </c>
      <c r="M79" s="12">
        <v>0</v>
      </c>
      <c r="N79" s="13">
        <v>25.6410256410256</v>
      </c>
      <c r="O79" s="13">
        <v>40</v>
      </c>
      <c r="P79" s="13">
        <v>100</v>
      </c>
      <c r="Q79" s="13">
        <v>0</v>
      </c>
      <c r="R79" s="13">
        <v>0</v>
      </c>
    </row>
    <row r="80" spans="1:18" x14ac:dyDescent="0.45">
      <c r="A80" s="12" t="s">
        <v>128</v>
      </c>
      <c r="B80" s="12">
        <v>130</v>
      </c>
      <c r="C80" s="24">
        <v>71</v>
      </c>
      <c r="D80" s="12">
        <v>12</v>
      </c>
      <c r="E80" s="12">
        <v>10</v>
      </c>
      <c r="F80" s="12">
        <v>3</v>
      </c>
      <c r="G80" s="12">
        <v>1</v>
      </c>
      <c r="H80" s="12">
        <v>0</v>
      </c>
      <c r="I80" s="12">
        <v>0</v>
      </c>
      <c r="J80" s="24">
        <v>31</v>
      </c>
      <c r="K80" s="12">
        <v>8</v>
      </c>
      <c r="L80" s="12">
        <v>0</v>
      </c>
      <c r="M80" s="12">
        <v>0</v>
      </c>
      <c r="N80" s="13">
        <v>16.901408450704199</v>
      </c>
      <c r="O80" s="13">
        <v>83.3333333333333</v>
      </c>
      <c r="P80" s="13">
        <v>30</v>
      </c>
      <c r="Q80" s="13">
        <v>33.3333333333333</v>
      </c>
      <c r="R80" s="13">
        <v>0</v>
      </c>
    </row>
    <row r="81" spans="1:18" x14ac:dyDescent="0.45">
      <c r="A81" s="12" t="s">
        <v>129</v>
      </c>
      <c r="B81" s="12">
        <v>1026</v>
      </c>
      <c r="C81" s="24">
        <v>416</v>
      </c>
      <c r="D81" s="12">
        <v>74</v>
      </c>
      <c r="E81" s="12">
        <v>47</v>
      </c>
      <c r="F81" s="12">
        <v>27</v>
      </c>
      <c r="G81" s="12">
        <v>2</v>
      </c>
      <c r="H81" s="12">
        <v>1</v>
      </c>
      <c r="I81" s="12">
        <v>0</v>
      </c>
      <c r="J81" s="24">
        <v>95</v>
      </c>
      <c r="K81" s="12">
        <v>25</v>
      </c>
      <c r="L81" s="12">
        <v>0</v>
      </c>
      <c r="M81" s="12">
        <v>0</v>
      </c>
      <c r="N81" s="13">
        <v>17.788461538461501</v>
      </c>
      <c r="O81" s="13">
        <v>63.513513513513502</v>
      </c>
      <c r="P81" s="13">
        <v>57.446808510638299</v>
      </c>
      <c r="Q81" s="13">
        <v>7.4074074074074101</v>
      </c>
      <c r="R81" s="13">
        <v>50</v>
      </c>
    </row>
    <row r="82" spans="1:18" x14ac:dyDescent="0.45">
      <c r="A82" s="12" t="s">
        <v>130</v>
      </c>
      <c r="B82" s="12">
        <v>220</v>
      </c>
      <c r="C82" s="24">
        <v>109</v>
      </c>
      <c r="D82" s="12">
        <v>28</v>
      </c>
      <c r="E82" s="12">
        <v>16</v>
      </c>
      <c r="F82" s="12">
        <v>9</v>
      </c>
      <c r="G82" s="12">
        <v>2</v>
      </c>
      <c r="H82" s="12">
        <v>0</v>
      </c>
      <c r="I82" s="12">
        <v>0</v>
      </c>
      <c r="J82" s="24">
        <v>55</v>
      </c>
      <c r="K82" s="12">
        <v>9</v>
      </c>
      <c r="L82" s="12">
        <v>0</v>
      </c>
      <c r="M82" s="12">
        <v>0</v>
      </c>
      <c r="N82" s="13">
        <v>25.688073394495401</v>
      </c>
      <c r="O82" s="13">
        <v>57.142857142857103</v>
      </c>
      <c r="P82" s="13">
        <v>56.25</v>
      </c>
      <c r="Q82" s="13">
        <v>22.2222222222222</v>
      </c>
      <c r="R82" s="13">
        <v>0</v>
      </c>
    </row>
    <row r="83" spans="1:18" x14ac:dyDescent="0.45">
      <c r="A83" s="12" t="s">
        <v>131</v>
      </c>
      <c r="B83" s="12">
        <v>1239</v>
      </c>
      <c r="C83" s="24">
        <v>497</v>
      </c>
      <c r="D83" s="12">
        <v>97</v>
      </c>
      <c r="E83" s="12">
        <v>53</v>
      </c>
      <c r="F83" s="12">
        <v>38</v>
      </c>
      <c r="G83" s="12">
        <v>1</v>
      </c>
      <c r="H83" s="12">
        <v>3</v>
      </c>
      <c r="I83" s="12">
        <v>0</v>
      </c>
      <c r="J83" s="24">
        <v>123</v>
      </c>
      <c r="K83" s="12">
        <v>27</v>
      </c>
      <c r="L83" s="12">
        <v>0</v>
      </c>
      <c r="M83" s="12">
        <v>0</v>
      </c>
      <c r="N83" s="13">
        <v>19.517102615694199</v>
      </c>
      <c r="O83" s="13">
        <v>54.639175257731999</v>
      </c>
      <c r="P83" s="13">
        <v>71.698113207547195</v>
      </c>
      <c r="Q83" s="13">
        <v>2.6315789473684199</v>
      </c>
      <c r="R83" s="13">
        <v>300</v>
      </c>
    </row>
    <row r="84" spans="1:18" x14ac:dyDescent="0.45">
      <c r="A84" s="12" t="s">
        <v>132</v>
      </c>
      <c r="B84" s="12">
        <v>371</v>
      </c>
      <c r="C84" s="24">
        <v>147</v>
      </c>
      <c r="D84" s="12">
        <v>39</v>
      </c>
      <c r="E84" s="12">
        <v>22</v>
      </c>
      <c r="F84" s="12">
        <v>20</v>
      </c>
      <c r="G84" s="12">
        <v>3</v>
      </c>
      <c r="H84" s="12">
        <v>0</v>
      </c>
      <c r="I84" s="12">
        <v>0</v>
      </c>
      <c r="J84" s="24">
        <v>72</v>
      </c>
      <c r="K84" s="12">
        <v>10</v>
      </c>
      <c r="L84" s="12">
        <v>1</v>
      </c>
      <c r="M84" s="12">
        <v>0</v>
      </c>
      <c r="N84" s="13">
        <v>26.530612244897998</v>
      </c>
      <c r="O84" s="13">
        <v>56.410256410256402</v>
      </c>
      <c r="P84" s="13">
        <v>90.909090909090907</v>
      </c>
      <c r="Q84" s="13">
        <v>15</v>
      </c>
      <c r="R84" s="13">
        <v>0</v>
      </c>
    </row>
    <row r="85" spans="1:18" x14ac:dyDescent="0.45">
      <c r="A85" s="12" t="s">
        <v>133</v>
      </c>
      <c r="B85" s="12">
        <v>189</v>
      </c>
      <c r="C85" s="24">
        <v>100</v>
      </c>
      <c r="D85" s="12">
        <v>39</v>
      </c>
      <c r="E85" s="12">
        <v>21</v>
      </c>
      <c r="F85" s="12">
        <v>24</v>
      </c>
      <c r="G85" s="12">
        <v>5</v>
      </c>
      <c r="H85" s="12">
        <v>0</v>
      </c>
      <c r="I85" s="12">
        <v>0</v>
      </c>
      <c r="J85" s="24">
        <v>66</v>
      </c>
      <c r="K85" s="12">
        <v>16</v>
      </c>
      <c r="L85" s="12">
        <v>0</v>
      </c>
      <c r="M85" s="12">
        <v>0</v>
      </c>
      <c r="N85" s="13">
        <v>39</v>
      </c>
      <c r="O85" s="13">
        <v>53.846153846153797</v>
      </c>
      <c r="P85" s="13">
        <v>114.28571428571399</v>
      </c>
      <c r="Q85" s="13">
        <v>20.8333333333333</v>
      </c>
      <c r="R85" s="13">
        <v>0</v>
      </c>
    </row>
    <row r="86" spans="1:18" x14ac:dyDescent="0.45">
      <c r="A86" s="12" t="s">
        <v>134</v>
      </c>
      <c r="B86" s="12">
        <v>135</v>
      </c>
      <c r="C86" s="24">
        <v>76</v>
      </c>
      <c r="D86" s="12">
        <v>26</v>
      </c>
      <c r="E86" s="12">
        <v>20</v>
      </c>
      <c r="F86" s="12">
        <v>19</v>
      </c>
      <c r="G86" s="12">
        <v>2</v>
      </c>
      <c r="H86" s="12">
        <v>1</v>
      </c>
      <c r="I86" s="12">
        <v>0</v>
      </c>
      <c r="J86" s="24">
        <v>65</v>
      </c>
      <c r="K86" s="12">
        <v>13</v>
      </c>
      <c r="L86" s="12">
        <v>2</v>
      </c>
      <c r="M86" s="12">
        <v>2</v>
      </c>
      <c r="N86" s="13">
        <v>34.210526315789501</v>
      </c>
      <c r="O86" s="13">
        <v>76.923076923076906</v>
      </c>
      <c r="P86" s="13">
        <v>95</v>
      </c>
      <c r="Q86" s="13">
        <v>10.526315789473699</v>
      </c>
      <c r="R86" s="13">
        <v>50</v>
      </c>
    </row>
    <row r="87" spans="1:18" x14ac:dyDescent="0.45">
      <c r="A87" s="12" t="s">
        <v>135</v>
      </c>
      <c r="B87" s="12">
        <v>85</v>
      </c>
      <c r="C87" s="24">
        <v>42</v>
      </c>
      <c r="D87" s="12">
        <v>12</v>
      </c>
      <c r="E87" s="12">
        <v>7</v>
      </c>
      <c r="F87" s="12">
        <v>7</v>
      </c>
      <c r="G87" s="12">
        <v>2</v>
      </c>
      <c r="H87" s="12">
        <v>2</v>
      </c>
      <c r="I87" s="12">
        <v>0</v>
      </c>
      <c r="J87" s="24">
        <v>47</v>
      </c>
      <c r="K87" s="12">
        <v>13</v>
      </c>
      <c r="L87" s="12">
        <v>0</v>
      </c>
      <c r="M87" s="12">
        <v>0</v>
      </c>
      <c r="N87" s="13">
        <v>28.571428571428601</v>
      </c>
      <c r="O87" s="13">
        <v>58.3333333333333</v>
      </c>
      <c r="P87" s="13">
        <v>100</v>
      </c>
      <c r="Q87" s="13">
        <v>28.571428571428601</v>
      </c>
      <c r="R87" s="13">
        <v>100</v>
      </c>
    </row>
    <row r="88" spans="1:18" x14ac:dyDescent="0.45">
      <c r="A88" s="12" t="s">
        <v>136</v>
      </c>
      <c r="B88" s="12">
        <v>110</v>
      </c>
      <c r="C88" s="24">
        <v>67</v>
      </c>
      <c r="D88" s="12">
        <v>24</v>
      </c>
      <c r="E88" s="12">
        <v>16</v>
      </c>
      <c r="F88" s="12">
        <v>11</v>
      </c>
      <c r="G88" s="12">
        <v>3</v>
      </c>
      <c r="H88" s="12">
        <v>1</v>
      </c>
      <c r="I88" s="12">
        <v>0</v>
      </c>
      <c r="J88" s="24">
        <v>48</v>
      </c>
      <c r="K88" s="12">
        <v>9</v>
      </c>
      <c r="L88" s="12">
        <v>0</v>
      </c>
      <c r="M88" s="12">
        <v>0</v>
      </c>
      <c r="N88" s="13">
        <v>35.820895522388099</v>
      </c>
      <c r="O88" s="13">
        <v>66.6666666666667</v>
      </c>
      <c r="P88" s="13">
        <v>68.75</v>
      </c>
      <c r="Q88" s="13">
        <v>27.272727272727298</v>
      </c>
      <c r="R88" s="13">
        <v>33.3333333333333</v>
      </c>
    </row>
    <row r="89" spans="1:18" x14ac:dyDescent="0.45">
      <c r="A89" s="12" t="s">
        <v>137</v>
      </c>
      <c r="B89" s="12">
        <v>74</v>
      </c>
      <c r="C89" s="24">
        <v>41</v>
      </c>
      <c r="D89" s="12">
        <v>12</v>
      </c>
      <c r="E89" s="12">
        <v>8</v>
      </c>
      <c r="F89" s="12">
        <v>4</v>
      </c>
      <c r="G89" s="12">
        <v>0</v>
      </c>
      <c r="H89" s="12">
        <v>0</v>
      </c>
      <c r="I89" s="12">
        <v>0</v>
      </c>
      <c r="J89" s="24">
        <v>38</v>
      </c>
      <c r="K89" s="12">
        <v>5</v>
      </c>
      <c r="L89" s="12">
        <v>0</v>
      </c>
      <c r="M89" s="12">
        <v>0</v>
      </c>
      <c r="N89" s="13">
        <v>29.268292682926798</v>
      </c>
      <c r="O89" s="13">
        <v>66.6666666666667</v>
      </c>
      <c r="P89" s="13">
        <v>50</v>
      </c>
      <c r="Q89" s="13">
        <v>0</v>
      </c>
      <c r="R89" s="13">
        <v>0</v>
      </c>
    </row>
    <row r="90" spans="1:18" x14ac:dyDescent="0.45">
      <c r="A90" s="12" t="s">
        <v>138</v>
      </c>
      <c r="B90" s="12">
        <v>106</v>
      </c>
      <c r="C90" s="24">
        <v>59</v>
      </c>
      <c r="D90" s="12">
        <v>15</v>
      </c>
      <c r="E90" s="12">
        <v>9</v>
      </c>
      <c r="F90" s="12">
        <v>9</v>
      </c>
      <c r="G90" s="12">
        <v>3</v>
      </c>
      <c r="H90" s="12">
        <v>0</v>
      </c>
      <c r="I90" s="12">
        <v>0</v>
      </c>
      <c r="J90" s="24">
        <v>41</v>
      </c>
      <c r="K90" s="12">
        <v>10</v>
      </c>
      <c r="L90" s="12">
        <v>0</v>
      </c>
      <c r="M90" s="12">
        <v>0</v>
      </c>
      <c r="N90" s="13">
        <v>25.4237288135593</v>
      </c>
      <c r="O90" s="13">
        <v>60</v>
      </c>
      <c r="P90" s="13">
        <v>100</v>
      </c>
      <c r="Q90" s="13">
        <v>33.3333333333333</v>
      </c>
      <c r="R90" s="13">
        <v>0</v>
      </c>
    </row>
    <row r="91" spans="1:18" x14ac:dyDescent="0.45">
      <c r="A91" s="12" t="s">
        <v>139</v>
      </c>
      <c r="B91" s="12">
        <v>68</v>
      </c>
      <c r="C91" s="24">
        <v>39</v>
      </c>
      <c r="D91" s="12">
        <v>13</v>
      </c>
      <c r="E91" s="12">
        <v>8</v>
      </c>
      <c r="F91" s="12">
        <v>10</v>
      </c>
      <c r="G91" s="12">
        <v>6</v>
      </c>
      <c r="H91" s="12">
        <v>0</v>
      </c>
      <c r="I91" s="12">
        <v>0</v>
      </c>
      <c r="J91" s="24">
        <v>38</v>
      </c>
      <c r="K91" s="12">
        <v>7</v>
      </c>
      <c r="L91" s="12">
        <v>0</v>
      </c>
      <c r="M91" s="12">
        <v>0</v>
      </c>
      <c r="N91" s="13">
        <v>33.3333333333333</v>
      </c>
      <c r="O91" s="13">
        <v>61.538461538461497</v>
      </c>
      <c r="P91" s="13">
        <v>125</v>
      </c>
      <c r="Q91" s="13">
        <v>60</v>
      </c>
      <c r="R91" s="13">
        <v>0</v>
      </c>
    </row>
    <row r="92" spans="1:18" x14ac:dyDescent="0.45">
      <c r="A92" s="12" t="s">
        <v>140</v>
      </c>
      <c r="B92" s="12">
        <v>336</v>
      </c>
      <c r="C92" s="24">
        <v>162</v>
      </c>
      <c r="D92" s="12">
        <v>41</v>
      </c>
      <c r="E92" s="12">
        <v>23</v>
      </c>
      <c r="F92" s="12">
        <v>23</v>
      </c>
      <c r="G92" s="12">
        <v>5</v>
      </c>
      <c r="H92" s="12">
        <v>1</v>
      </c>
      <c r="I92" s="12">
        <v>0</v>
      </c>
      <c r="J92" s="24">
        <v>72</v>
      </c>
      <c r="K92" s="12">
        <v>18</v>
      </c>
      <c r="L92" s="12">
        <v>0</v>
      </c>
      <c r="M92" s="12">
        <v>0</v>
      </c>
      <c r="N92" s="13">
        <v>25.3086419753086</v>
      </c>
      <c r="O92" s="13">
        <v>56.097560975609802</v>
      </c>
      <c r="P92" s="13">
        <v>100</v>
      </c>
      <c r="Q92" s="13">
        <v>21.739130434782599</v>
      </c>
      <c r="R92" s="13">
        <v>20</v>
      </c>
    </row>
    <row r="93" spans="1:18" x14ac:dyDescent="0.45">
      <c r="A93" s="12" t="s">
        <v>141</v>
      </c>
      <c r="B93" s="12">
        <v>204</v>
      </c>
      <c r="C93" s="24">
        <v>95</v>
      </c>
      <c r="D93" s="12">
        <v>26</v>
      </c>
      <c r="E93" s="12">
        <v>14</v>
      </c>
      <c r="F93" s="12">
        <v>15</v>
      </c>
      <c r="G93" s="12">
        <v>2</v>
      </c>
      <c r="H93" s="12">
        <v>0</v>
      </c>
      <c r="I93" s="12">
        <v>0</v>
      </c>
      <c r="J93" s="24">
        <v>50</v>
      </c>
      <c r="K93" s="12">
        <v>8</v>
      </c>
      <c r="L93" s="12">
        <v>0</v>
      </c>
      <c r="M93" s="12">
        <v>0</v>
      </c>
      <c r="N93" s="13">
        <v>27.3684210526316</v>
      </c>
      <c r="O93" s="13">
        <v>53.846153846153797</v>
      </c>
      <c r="P93" s="13">
        <v>107.142857142857</v>
      </c>
      <c r="Q93" s="13">
        <v>13.3333333333333</v>
      </c>
      <c r="R93" s="13">
        <v>0</v>
      </c>
    </row>
    <row r="94" spans="1:18" x14ac:dyDescent="0.45">
      <c r="A94" s="12" t="s">
        <v>142</v>
      </c>
      <c r="B94" s="12">
        <v>535</v>
      </c>
      <c r="C94" s="24">
        <v>258</v>
      </c>
      <c r="D94" s="12">
        <v>57</v>
      </c>
      <c r="E94" s="12">
        <v>34</v>
      </c>
      <c r="F94" s="12">
        <v>16</v>
      </c>
      <c r="G94" s="12">
        <v>4</v>
      </c>
      <c r="H94" s="12">
        <v>1</v>
      </c>
      <c r="I94" s="12">
        <v>0</v>
      </c>
      <c r="J94" s="24">
        <v>76</v>
      </c>
      <c r="K94" s="12">
        <v>17</v>
      </c>
      <c r="L94" s="12">
        <v>0</v>
      </c>
      <c r="M94" s="12">
        <v>0</v>
      </c>
      <c r="N94" s="13">
        <v>22.093023255814</v>
      </c>
      <c r="O94" s="13">
        <v>59.649122807017498</v>
      </c>
      <c r="P94" s="13">
        <v>47.058823529411796</v>
      </c>
      <c r="Q94" s="13">
        <v>25</v>
      </c>
      <c r="R94" s="13">
        <v>25</v>
      </c>
    </row>
    <row r="95" spans="1:18" x14ac:dyDescent="0.45">
      <c r="A95" s="12" t="s">
        <v>143</v>
      </c>
      <c r="B95" s="12">
        <v>794</v>
      </c>
      <c r="C95" s="24">
        <v>388</v>
      </c>
      <c r="D95" s="12">
        <v>83</v>
      </c>
      <c r="E95" s="12">
        <v>52</v>
      </c>
      <c r="F95" s="12">
        <v>28</v>
      </c>
      <c r="G95" s="12">
        <v>7</v>
      </c>
      <c r="H95" s="12">
        <v>1</v>
      </c>
      <c r="I95" s="12">
        <v>0</v>
      </c>
      <c r="J95" s="24">
        <v>117</v>
      </c>
      <c r="K95" s="12">
        <v>28</v>
      </c>
      <c r="L95" s="12">
        <v>0</v>
      </c>
      <c r="M95" s="12">
        <v>0</v>
      </c>
      <c r="N95" s="13">
        <v>21.3917525773196</v>
      </c>
      <c r="O95" s="13">
        <v>62.650602409638601</v>
      </c>
      <c r="P95" s="13">
        <v>53.846153846153797</v>
      </c>
      <c r="Q95" s="13">
        <v>25</v>
      </c>
      <c r="R95" s="13">
        <v>14.285714285714301</v>
      </c>
    </row>
    <row r="96" spans="1:18" x14ac:dyDescent="0.45">
      <c r="A96" s="12" t="s">
        <v>144</v>
      </c>
      <c r="B96" s="12">
        <v>190</v>
      </c>
      <c r="C96" s="24">
        <v>105</v>
      </c>
      <c r="D96" s="12">
        <v>31</v>
      </c>
      <c r="E96" s="12">
        <v>12</v>
      </c>
      <c r="F96" s="12">
        <v>19</v>
      </c>
      <c r="G96" s="12">
        <v>1</v>
      </c>
      <c r="H96" s="12">
        <v>0</v>
      </c>
      <c r="I96" s="12">
        <v>0</v>
      </c>
      <c r="J96" s="24">
        <v>78</v>
      </c>
      <c r="K96" s="12">
        <v>19</v>
      </c>
      <c r="L96" s="12">
        <v>0</v>
      </c>
      <c r="M96" s="12">
        <v>0</v>
      </c>
      <c r="N96" s="13">
        <v>29.523809523809501</v>
      </c>
      <c r="O96" s="13">
        <v>38.709677419354797</v>
      </c>
      <c r="P96" s="13">
        <v>158.333333333333</v>
      </c>
      <c r="Q96" s="13">
        <v>5.2631578947368398</v>
      </c>
      <c r="R96" s="13">
        <v>0</v>
      </c>
    </row>
    <row r="97" spans="1:18" x14ac:dyDescent="0.45">
      <c r="A97" s="12" t="s">
        <v>145</v>
      </c>
      <c r="B97" s="12">
        <v>123</v>
      </c>
      <c r="C97" s="24">
        <v>67</v>
      </c>
      <c r="D97" s="12">
        <v>27</v>
      </c>
      <c r="E97" s="12">
        <v>14</v>
      </c>
      <c r="F97" s="12">
        <v>17</v>
      </c>
      <c r="G97" s="12">
        <v>6</v>
      </c>
      <c r="H97" s="12">
        <v>0</v>
      </c>
      <c r="I97" s="12">
        <v>0</v>
      </c>
      <c r="J97" s="24">
        <v>69</v>
      </c>
      <c r="K97" s="12">
        <v>14</v>
      </c>
      <c r="L97" s="12">
        <v>0</v>
      </c>
      <c r="M97" s="12">
        <v>0</v>
      </c>
      <c r="N97" s="13">
        <v>40.298507462686601</v>
      </c>
      <c r="O97" s="13">
        <v>51.851851851851798</v>
      </c>
      <c r="P97" s="13">
        <v>121.428571428571</v>
      </c>
      <c r="Q97" s="13">
        <v>35.294117647058798</v>
      </c>
      <c r="R97" s="13">
        <v>0</v>
      </c>
    </row>
    <row r="98" spans="1:18" x14ac:dyDescent="0.45">
      <c r="A98" s="12" t="s">
        <v>146</v>
      </c>
      <c r="B98" s="12">
        <v>94</v>
      </c>
      <c r="C98" s="24">
        <v>59</v>
      </c>
      <c r="D98" s="12">
        <v>17</v>
      </c>
      <c r="E98" s="12">
        <v>11</v>
      </c>
      <c r="F98" s="12">
        <v>17</v>
      </c>
      <c r="G98" s="12">
        <v>5</v>
      </c>
      <c r="H98" s="12">
        <v>2</v>
      </c>
      <c r="I98" s="12">
        <v>0</v>
      </c>
      <c r="J98" s="24">
        <v>59</v>
      </c>
      <c r="K98" s="12">
        <v>23</v>
      </c>
      <c r="L98" s="12">
        <v>0</v>
      </c>
      <c r="M98" s="12">
        <v>0</v>
      </c>
      <c r="N98" s="13">
        <v>28.8135593220339</v>
      </c>
      <c r="O98" s="13">
        <v>64.705882352941202</v>
      </c>
      <c r="P98" s="13">
        <v>154.54545454545499</v>
      </c>
      <c r="Q98" s="13">
        <v>29.411764705882401</v>
      </c>
      <c r="R98" s="13">
        <v>40</v>
      </c>
    </row>
    <row r="99" spans="1:18" x14ac:dyDescent="0.45">
      <c r="A99" s="12" t="s">
        <v>147</v>
      </c>
      <c r="B99" s="12">
        <v>146</v>
      </c>
      <c r="C99" s="24">
        <v>80</v>
      </c>
      <c r="D99" s="12">
        <v>23</v>
      </c>
      <c r="E99" s="12">
        <v>12</v>
      </c>
      <c r="F99" s="12">
        <v>11</v>
      </c>
      <c r="G99" s="12">
        <v>7</v>
      </c>
      <c r="H99" s="12">
        <v>1</v>
      </c>
      <c r="I99" s="12">
        <v>0</v>
      </c>
      <c r="J99" s="24">
        <v>69</v>
      </c>
      <c r="K99" s="12">
        <v>12</v>
      </c>
      <c r="L99" s="12">
        <v>0</v>
      </c>
      <c r="M99" s="12">
        <v>0</v>
      </c>
      <c r="N99" s="13">
        <v>28.75</v>
      </c>
      <c r="O99" s="13">
        <v>52.173913043478301</v>
      </c>
      <c r="P99" s="13">
        <v>91.6666666666667</v>
      </c>
      <c r="Q99" s="13">
        <v>63.636363636363598</v>
      </c>
      <c r="R99" s="13">
        <v>14.285714285714301</v>
      </c>
    </row>
    <row r="100" spans="1:18" x14ac:dyDescent="0.45">
      <c r="A100" s="12" t="s">
        <v>148</v>
      </c>
      <c r="B100" s="12">
        <v>94</v>
      </c>
      <c r="C100" s="24">
        <v>46</v>
      </c>
      <c r="D100" s="12">
        <v>18</v>
      </c>
      <c r="E100" s="12">
        <v>13</v>
      </c>
      <c r="F100" s="12">
        <v>12</v>
      </c>
      <c r="G100" s="12">
        <v>6</v>
      </c>
      <c r="H100" s="12">
        <v>1</v>
      </c>
      <c r="I100" s="12">
        <v>0</v>
      </c>
      <c r="J100" s="24">
        <v>53</v>
      </c>
      <c r="K100" s="12">
        <v>18</v>
      </c>
      <c r="L100" s="12">
        <v>0</v>
      </c>
      <c r="M100" s="12">
        <v>0</v>
      </c>
      <c r="N100" s="13">
        <v>39.130434782608702</v>
      </c>
      <c r="O100" s="13">
        <v>72.2222222222222</v>
      </c>
      <c r="P100" s="13">
        <v>92.307692307692307</v>
      </c>
      <c r="Q100" s="13">
        <v>50</v>
      </c>
      <c r="R100" s="13">
        <v>16.6666666666667</v>
      </c>
    </row>
    <row r="101" spans="1:18" x14ac:dyDescent="0.45">
      <c r="A101" s="12" t="s">
        <v>149</v>
      </c>
      <c r="B101" s="12">
        <v>80</v>
      </c>
      <c r="C101" s="24">
        <v>40</v>
      </c>
      <c r="D101" s="12">
        <v>13</v>
      </c>
      <c r="E101" s="12">
        <v>11</v>
      </c>
      <c r="F101" s="12">
        <v>8</v>
      </c>
      <c r="G101" s="12">
        <v>6</v>
      </c>
      <c r="H101" s="12">
        <v>0</v>
      </c>
      <c r="I101" s="12">
        <v>0</v>
      </c>
      <c r="J101" s="24">
        <v>56</v>
      </c>
      <c r="K101" s="12">
        <v>8</v>
      </c>
      <c r="L101" s="12">
        <v>0</v>
      </c>
      <c r="M101" s="12">
        <v>0</v>
      </c>
      <c r="N101" s="13">
        <v>32.5</v>
      </c>
      <c r="O101" s="13">
        <v>84.615384615384599</v>
      </c>
      <c r="P101" s="13">
        <v>72.727272727272705</v>
      </c>
      <c r="Q101" s="13">
        <v>75</v>
      </c>
      <c r="R101" s="13">
        <v>0</v>
      </c>
    </row>
    <row r="102" spans="1:18" x14ac:dyDescent="0.45">
      <c r="A102" s="12" t="s">
        <v>150</v>
      </c>
      <c r="B102" s="12">
        <v>74</v>
      </c>
      <c r="C102" s="24">
        <v>43</v>
      </c>
      <c r="D102" s="12">
        <v>14</v>
      </c>
      <c r="E102" s="12">
        <v>7</v>
      </c>
      <c r="F102" s="12">
        <v>6</v>
      </c>
      <c r="G102" s="12">
        <v>2</v>
      </c>
      <c r="H102" s="12">
        <v>0</v>
      </c>
      <c r="I102" s="12">
        <v>0</v>
      </c>
      <c r="J102" s="24">
        <v>53</v>
      </c>
      <c r="K102" s="12">
        <v>7</v>
      </c>
      <c r="L102" s="12">
        <v>0</v>
      </c>
      <c r="M102" s="12">
        <v>0</v>
      </c>
      <c r="N102" s="13">
        <v>32.558139534883701</v>
      </c>
      <c r="O102" s="13">
        <v>50</v>
      </c>
      <c r="P102" s="13">
        <v>85.714285714285694</v>
      </c>
      <c r="Q102" s="13">
        <v>33.3333333333333</v>
      </c>
      <c r="R102" s="13">
        <v>0</v>
      </c>
    </row>
    <row r="103" spans="1:18" x14ac:dyDescent="0.45">
      <c r="A103" s="12" t="s">
        <v>151</v>
      </c>
      <c r="B103" s="12">
        <v>43</v>
      </c>
      <c r="C103" s="24">
        <v>27</v>
      </c>
      <c r="D103" s="12">
        <v>8</v>
      </c>
      <c r="E103" s="12">
        <v>4</v>
      </c>
      <c r="F103" s="12">
        <v>4</v>
      </c>
      <c r="G103" s="12">
        <v>8</v>
      </c>
      <c r="H103" s="12">
        <v>0</v>
      </c>
      <c r="I103" s="12">
        <v>0</v>
      </c>
      <c r="J103" s="24">
        <v>44</v>
      </c>
      <c r="K103" s="12">
        <v>12</v>
      </c>
      <c r="L103" s="12">
        <v>2</v>
      </c>
      <c r="M103" s="12">
        <v>2</v>
      </c>
      <c r="N103" s="13">
        <v>29.629629629629601</v>
      </c>
      <c r="O103" s="13">
        <v>50</v>
      </c>
      <c r="P103" s="13">
        <v>100</v>
      </c>
      <c r="Q103" s="13">
        <v>200</v>
      </c>
      <c r="R103" s="13">
        <v>0</v>
      </c>
    </row>
    <row r="104" spans="1:18" x14ac:dyDescent="0.45">
      <c r="A104" s="12" t="s">
        <v>152</v>
      </c>
      <c r="B104" s="12">
        <v>30</v>
      </c>
      <c r="C104" s="24">
        <v>22</v>
      </c>
      <c r="D104" s="12">
        <v>6</v>
      </c>
      <c r="E104" s="12">
        <v>3</v>
      </c>
      <c r="F104" s="12">
        <v>5</v>
      </c>
      <c r="G104" s="12">
        <v>2</v>
      </c>
      <c r="H104" s="12">
        <v>0</v>
      </c>
      <c r="I104" s="12">
        <v>0</v>
      </c>
      <c r="J104" s="24">
        <v>30</v>
      </c>
      <c r="K104" s="12">
        <v>5</v>
      </c>
      <c r="L104" s="12">
        <v>0</v>
      </c>
      <c r="M104" s="12">
        <v>0</v>
      </c>
      <c r="N104" s="13">
        <v>27.272727272727298</v>
      </c>
      <c r="O104" s="13">
        <v>50</v>
      </c>
      <c r="P104" s="13">
        <v>166.666666666667</v>
      </c>
      <c r="Q104" s="13">
        <v>40</v>
      </c>
      <c r="R104" s="13">
        <v>0</v>
      </c>
    </row>
    <row r="105" spans="1:18" x14ac:dyDescent="0.45">
      <c r="A105" s="12" t="s">
        <v>153</v>
      </c>
      <c r="B105" s="12">
        <v>46</v>
      </c>
      <c r="C105" s="24">
        <v>31</v>
      </c>
      <c r="D105" s="12">
        <v>9</v>
      </c>
      <c r="E105" s="12">
        <v>5</v>
      </c>
      <c r="F105" s="12">
        <v>6</v>
      </c>
      <c r="G105" s="12">
        <v>4</v>
      </c>
      <c r="H105" s="12">
        <v>1</v>
      </c>
      <c r="I105" s="12">
        <v>0</v>
      </c>
      <c r="J105" s="24">
        <v>45</v>
      </c>
      <c r="K105" s="12">
        <v>8</v>
      </c>
      <c r="L105" s="12">
        <v>0</v>
      </c>
      <c r="M105" s="12">
        <v>0</v>
      </c>
      <c r="N105" s="13">
        <v>29.0322580645161</v>
      </c>
      <c r="O105" s="13">
        <v>55.5555555555556</v>
      </c>
      <c r="P105" s="13">
        <v>120</v>
      </c>
      <c r="Q105" s="13">
        <v>66.6666666666667</v>
      </c>
      <c r="R105" s="13">
        <v>25</v>
      </c>
    </row>
    <row r="106" spans="1:18" x14ac:dyDescent="0.45">
      <c r="A106" s="12" t="s">
        <v>154</v>
      </c>
      <c r="B106" s="12">
        <v>81</v>
      </c>
      <c r="C106" s="24">
        <v>49</v>
      </c>
      <c r="D106" s="12">
        <v>22</v>
      </c>
      <c r="E106" s="12">
        <v>14</v>
      </c>
      <c r="F106" s="12">
        <v>7</v>
      </c>
      <c r="G106" s="12">
        <v>4</v>
      </c>
      <c r="H106" s="12">
        <v>0</v>
      </c>
      <c r="I106" s="12">
        <v>0</v>
      </c>
      <c r="J106" s="24">
        <v>55</v>
      </c>
      <c r="K106" s="12">
        <v>7</v>
      </c>
      <c r="L106" s="12">
        <v>0</v>
      </c>
      <c r="M106" s="12">
        <v>0</v>
      </c>
      <c r="N106" s="13">
        <v>44.8979591836735</v>
      </c>
      <c r="O106" s="13">
        <v>63.636363636363598</v>
      </c>
      <c r="P106" s="13">
        <v>50</v>
      </c>
      <c r="Q106" s="13">
        <v>57.142857142857103</v>
      </c>
      <c r="R106" s="13">
        <v>0</v>
      </c>
    </row>
    <row r="107" spans="1:18" x14ac:dyDescent="0.45">
      <c r="A107" s="12" t="s">
        <v>155</v>
      </c>
      <c r="B107" s="12">
        <v>41</v>
      </c>
      <c r="C107" s="24">
        <v>21</v>
      </c>
      <c r="D107" s="12">
        <v>5</v>
      </c>
      <c r="E107" s="12">
        <v>5</v>
      </c>
      <c r="F107" s="12">
        <v>8</v>
      </c>
      <c r="G107" s="12">
        <v>1</v>
      </c>
      <c r="H107" s="12">
        <v>2</v>
      </c>
      <c r="I107" s="12">
        <v>0</v>
      </c>
      <c r="J107" s="24">
        <v>46</v>
      </c>
      <c r="K107" s="12">
        <v>10</v>
      </c>
      <c r="L107" s="12">
        <v>0</v>
      </c>
      <c r="M107" s="12">
        <v>0</v>
      </c>
      <c r="N107" s="13">
        <v>23.8095238095238</v>
      </c>
      <c r="O107" s="13">
        <v>100</v>
      </c>
      <c r="P107" s="13">
        <v>160</v>
      </c>
      <c r="Q107" s="13">
        <v>12.5</v>
      </c>
      <c r="R107" s="13">
        <v>200</v>
      </c>
    </row>
    <row r="108" spans="1:18" x14ac:dyDescent="0.45">
      <c r="A108" s="12" t="s">
        <v>156</v>
      </c>
      <c r="B108" s="12">
        <v>62</v>
      </c>
      <c r="C108" s="24">
        <v>26</v>
      </c>
      <c r="D108" s="12">
        <v>8</v>
      </c>
      <c r="E108" s="12">
        <v>4</v>
      </c>
      <c r="F108" s="12">
        <v>6</v>
      </c>
      <c r="G108" s="12">
        <v>3</v>
      </c>
      <c r="H108" s="12">
        <v>1</v>
      </c>
      <c r="I108" s="12">
        <v>1</v>
      </c>
      <c r="J108" s="24">
        <v>38</v>
      </c>
      <c r="K108" s="12">
        <v>12</v>
      </c>
      <c r="L108" s="12">
        <v>0</v>
      </c>
      <c r="M108" s="12">
        <v>0</v>
      </c>
      <c r="N108" s="13">
        <v>30.769230769230798</v>
      </c>
      <c r="O108" s="13">
        <v>50</v>
      </c>
      <c r="P108" s="13">
        <v>150</v>
      </c>
      <c r="Q108" s="13">
        <v>50</v>
      </c>
      <c r="R108" s="13">
        <v>33.3333333333333</v>
      </c>
    </row>
    <row r="109" spans="1:18" x14ac:dyDescent="0.45">
      <c r="A109" s="12" t="s">
        <v>157</v>
      </c>
      <c r="B109" s="12">
        <v>76</v>
      </c>
      <c r="C109" s="24">
        <v>27</v>
      </c>
      <c r="D109" s="12">
        <v>5</v>
      </c>
      <c r="E109" s="12">
        <v>4</v>
      </c>
      <c r="F109" s="12">
        <v>1</v>
      </c>
      <c r="G109" s="12">
        <v>2</v>
      </c>
      <c r="H109" s="12">
        <v>0</v>
      </c>
      <c r="I109" s="12">
        <v>0</v>
      </c>
      <c r="J109" s="24">
        <v>34</v>
      </c>
      <c r="K109" s="12">
        <v>3</v>
      </c>
      <c r="L109" s="12">
        <v>0</v>
      </c>
      <c r="M109" s="12">
        <v>0</v>
      </c>
      <c r="N109" s="13">
        <v>18.518518518518501</v>
      </c>
      <c r="O109" s="13">
        <v>80</v>
      </c>
      <c r="P109" s="13">
        <v>25</v>
      </c>
      <c r="Q109" s="13">
        <v>200</v>
      </c>
      <c r="R109" s="13">
        <v>0</v>
      </c>
    </row>
    <row r="110" spans="1:18" x14ac:dyDescent="0.45">
      <c r="A110" s="12" t="s">
        <v>158</v>
      </c>
      <c r="B110" s="12">
        <v>49</v>
      </c>
      <c r="C110" s="24">
        <v>23</v>
      </c>
      <c r="D110" s="12">
        <v>2</v>
      </c>
      <c r="E110" s="12">
        <v>1</v>
      </c>
      <c r="F110" s="12">
        <v>4</v>
      </c>
      <c r="G110" s="12">
        <v>3</v>
      </c>
      <c r="H110" s="12">
        <v>1</v>
      </c>
      <c r="I110" s="12">
        <v>0</v>
      </c>
      <c r="J110" s="24">
        <v>25</v>
      </c>
      <c r="K110" s="12">
        <v>6</v>
      </c>
      <c r="L110" s="12">
        <v>0</v>
      </c>
      <c r="M110" s="12">
        <v>0</v>
      </c>
      <c r="N110" s="13">
        <v>8.6956521739130395</v>
      </c>
      <c r="O110" s="13">
        <v>50</v>
      </c>
      <c r="P110" s="13">
        <v>400</v>
      </c>
      <c r="Q110" s="13">
        <v>75</v>
      </c>
      <c r="R110" s="13">
        <v>33.3333333333333</v>
      </c>
    </row>
    <row r="111" spans="1:18" x14ac:dyDescent="0.45">
      <c r="A111" s="12" t="s">
        <v>159</v>
      </c>
      <c r="B111" s="12">
        <v>82</v>
      </c>
      <c r="C111" s="24">
        <v>44</v>
      </c>
      <c r="D111" s="12">
        <v>14</v>
      </c>
      <c r="E111" s="12">
        <v>9</v>
      </c>
      <c r="F111" s="12">
        <v>7</v>
      </c>
      <c r="G111" s="12">
        <v>0</v>
      </c>
      <c r="H111" s="12">
        <v>2</v>
      </c>
      <c r="I111" s="12">
        <v>0</v>
      </c>
      <c r="J111" s="24">
        <v>37</v>
      </c>
      <c r="K111" s="12">
        <v>9</v>
      </c>
      <c r="L111" s="12">
        <v>0</v>
      </c>
      <c r="M111" s="12">
        <v>0</v>
      </c>
      <c r="N111" s="13">
        <v>31.818181818181799</v>
      </c>
      <c r="O111" s="13">
        <v>64.285714285714306</v>
      </c>
      <c r="P111" s="13">
        <v>77.7777777777778</v>
      </c>
      <c r="Q111" s="13">
        <v>0</v>
      </c>
      <c r="R111" s="13">
        <v>0</v>
      </c>
    </row>
    <row r="112" spans="1:18" x14ac:dyDescent="0.45">
      <c r="A112" s="12" t="s">
        <v>160</v>
      </c>
      <c r="B112" s="12">
        <v>71</v>
      </c>
      <c r="C112" s="24">
        <v>31</v>
      </c>
      <c r="D112" s="12">
        <v>9</v>
      </c>
      <c r="E112" s="12">
        <v>7</v>
      </c>
      <c r="F112" s="12">
        <v>4</v>
      </c>
      <c r="G112" s="12">
        <v>2</v>
      </c>
      <c r="H112" s="12">
        <v>0</v>
      </c>
      <c r="I112" s="12">
        <v>0</v>
      </c>
      <c r="J112" s="24">
        <v>33</v>
      </c>
      <c r="K112" s="12">
        <v>6</v>
      </c>
      <c r="L112" s="12">
        <v>0</v>
      </c>
      <c r="M112" s="12">
        <v>0</v>
      </c>
      <c r="N112" s="13">
        <v>29.0322580645161</v>
      </c>
      <c r="O112" s="13">
        <v>77.7777777777778</v>
      </c>
      <c r="P112" s="13">
        <v>57.142857142857103</v>
      </c>
      <c r="Q112" s="13">
        <v>50</v>
      </c>
      <c r="R112" s="13">
        <v>0</v>
      </c>
    </row>
    <row r="113" spans="1:18" x14ac:dyDescent="0.45">
      <c r="A113" s="12" t="s">
        <v>161</v>
      </c>
      <c r="B113" s="12">
        <v>804</v>
      </c>
      <c r="C113" s="24">
        <v>381</v>
      </c>
      <c r="D113" s="12">
        <v>57</v>
      </c>
      <c r="E113" s="12">
        <v>34</v>
      </c>
      <c r="F113" s="12">
        <v>24</v>
      </c>
      <c r="G113" s="12">
        <v>5</v>
      </c>
      <c r="H113" s="12">
        <v>2</v>
      </c>
      <c r="I113" s="12">
        <v>0</v>
      </c>
      <c r="J113" s="24">
        <v>93</v>
      </c>
      <c r="K113" s="12">
        <v>20</v>
      </c>
      <c r="L113" s="12">
        <v>0</v>
      </c>
      <c r="M113" s="12">
        <v>0</v>
      </c>
      <c r="N113" s="13">
        <v>14.9606299212598</v>
      </c>
      <c r="O113" s="13">
        <v>59.649122807017498</v>
      </c>
      <c r="P113" s="13">
        <v>70.588235294117695</v>
      </c>
      <c r="Q113" s="13">
        <v>20.8333333333333</v>
      </c>
      <c r="R113" s="13">
        <v>40</v>
      </c>
    </row>
    <row r="114" spans="1:18" x14ac:dyDescent="0.45">
      <c r="A114" s="12" t="s">
        <v>162</v>
      </c>
      <c r="B114" s="12">
        <v>126</v>
      </c>
      <c r="C114" s="24">
        <v>74</v>
      </c>
      <c r="D114" s="12">
        <v>13</v>
      </c>
      <c r="E114" s="12">
        <v>11</v>
      </c>
      <c r="F114" s="12">
        <v>8</v>
      </c>
      <c r="G114" s="12">
        <v>4</v>
      </c>
      <c r="H114" s="12">
        <v>1</v>
      </c>
      <c r="I114" s="12">
        <v>0</v>
      </c>
      <c r="J114" s="24">
        <v>58</v>
      </c>
      <c r="K114" s="12">
        <v>15</v>
      </c>
      <c r="L114" s="12">
        <v>0</v>
      </c>
      <c r="M114" s="12">
        <v>0</v>
      </c>
      <c r="N114" s="13">
        <v>17.5675675675676</v>
      </c>
      <c r="O114" s="13">
        <v>84.615384615384599</v>
      </c>
      <c r="P114" s="13">
        <v>72.727272727272705</v>
      </c>
      <c r="Q114" s="13">
        <v>50</v>
      </c>
      <c r="R114" s="13">
        <v>25</v>
      </c>
    </row>
    <row r="115" spans="1:18" x14ac:dyDescent="0.45">
      <c r="A115" s="12" t="s">
        <v>163</v>
      </c>
      <c r="B115" s="12">
        <v>109</v>
      </c>
      <c r="C115" s="24">
        <v>59</v>
      </c>
      <c r="D115" s="12">
        <v>15</v>
      </c>
      <c r="E115" s="12">
        <v>7</v>
      </c>
      <c r="F115" s="12">
        <v>7</v>
      </c>
      <c r="G115" s="12">
        <v>1</v>
      </c>
      <c r="H115" s="12">
        <v>0</v>
      </c>
      <c r="I115" s="12">
        <v>0</v>
      </c>
      <c r="J115" s="24">
        <v>48</v>
      </c>
      <c r="K115" s="12">
        <v>7</v>
      </c>
      <c r="L115" s="12">
        <v>0</v>
      </c>
      <c r="M115" s="12">
        <v>0</v>
      </c>
      <c r="N115" s="13">
        <v>25.4237288135593</v>
      </c>
      <c r="O115" s="13">
        <v>46.6666666666667</v>
      </c>
      <c r="P115" s="13">
        <v>100</v>
      </c>
      <c r="Q115" s="13">
        <v>14.285714285714301</v>
      </c>
      <c r="R115" s="13">
        <v>0</v>
      </c>
    </row>
    <row r="116" spans="1:18" x14ac:dyDescent="0.45">
      <c r="A116" s="12" t="s">
        <v>164</v>
      </c>
      <c r="B116" s="12">
        <v>52</v>
      </c>
      <c r="C116" s="24">
        <v>27</v>
      </c>
      <c r="D116" s="12">
        <v>7</v>
      </c>
      <c r="E116" s="12">
        <v>7</v>
      </c>
      <c r="F116" s="12">
        <v>2</v>
      </c>
      <c r="G116" s="12">
        <v>3</v>
      </c>
      <c r="H116" s="12">
        <v>3</v>
      </c>
      <c r="I116" s="12">
        <v>0</v>
      </c>
      <c r="J116" s="24">
        <v>38</v>
      </c>
      <c r="K116" s="12">
        <v>8</v>
      </c>
      <c r="L116" s="12">
        <v>0</v>
      </c>
      <c r="M116" s="12">
        <v>0</v>
      </c>
      <c r="N116" s="13">
        <v>25.925925925925899</v>
      </c>
      <c r="O116" s="13">
        <v>100</v>
      </c>
      <c r="P116" s="13">
        <v>28.571428571428601</v>
      </c>
      <c r="Q116" s="13">
        <v>150</v>
      </c>
      <c r="R116" s="13">
        <v>100</v>
      </c>
    </row>
    <row r="117" spans="1:18" x14ac:dyDescent="0.45">
      <c r="A117" s="12" t="s">
        <v>165</v>
      </c>
      <c r="B117" s="12">
        <v>20</v>
      </c>
      <c r="C117" s="24">
        <v>10</v>
      </c>
      <c r="D117" s="12">
        <v>3</v>
      </c>
      <c r="E117" s="12">
        <v>3</v>
      </c>
      <c r="F117" s="12">
        <v>1</v>
      </c>
      <c r="G117" s="12">
        <v>0</v>
      </c>
      <c r="H117" s="12">
        <v>0</v>
      </c>
      <c r="I117" s="12">
        <v>0</v>
      </c>
      <c r="J117" s="24">
        <v>15</v>
      </c>
      <c r="K117" s="12">
        <v>3</v>
      </c>
      <c r="L117" s="12">
        <v>0</v>
      </c>
      <c r="M117" s="12">
        <v>0</v>
      </c>
      <c r="N117" s="13">
        <v>30</v>
      </c>
      <c r="O117" s="13">
        <v>100</v>
      </c>
      <c r="P117" s="13">
        <v>33.3333333333333</v>
      </c>
      <c r="Q117" s="13">
        <v>0</v>
      </c>
      <c r="R117" s="13">
        <v>0</v>
      </c>
    </row>
    <row r="118" spans="1:18" x14ac:dyDescent="0.45">
      <c r="A118" s="12" t="s">
        <v>166</v>
      </c>
      <c r="B118" s="12">
        <v>0</v>
      </c>
      <c r="C118" s="24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24">
        <v>0</v>
      </c>
      <c r="K118" s="12">
        <v>0</v>
      </c>
      <c r="L118" s="12">
        <v>0</v>
      </c>
      <c r="M118" s="12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Data_Backend</vt:lpstr>
      <vt:lpstr>Raw data_1</vt:lpstr>
      <vt:lpstr>Raw 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mtam</cp:lastModifiedBy>
  <dcterms:created xsi:type="dcterms:W3CDTF">2026-04-25T07:43:50Z</dcterms:created>
  <dcterms:modified xsi:type="dcterms:W3CDTF">2026-04-25T08:56:28Z</dcterms:modified>
</cp:coreProperties>
</file>